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reshm\OneDrive\Desktop\1. Power BI\excel\"/>
    </mc:Choice>
  </mc:AlternateContent>
  <xr:revisionPtr revIDLastSave="0" documentId="13_ncr:1_{2407A29D-B541-412A-91C5-2DCAA6CA0ED0}" xr6:coauthVersionLast="47" xr6:coauthVersionMax="47" xr10:uidLastSave="{00000000-0000-0000-0000-000000000000}"/>
  <bookViews>
    <workbookView xWindow="-108" yWindow="-108" windowWidth="23256" windowHeight="12456" activeTab="5" xr2:uid="{00000000-000D-0000-FFFF-FFFF00000000}"/>
  </bookViews>
  <sheets>
    <sheet name="Data" sheetId="1" r:id="rId1"/>
    <sheet name="Questions &amp; KPIs" sheetId="2" r:id="rId2"/>
    <sheet name="Pivots" sheetId="3" r:id="rId3"/>
    <sheet name="Heatmap" sheetId="7" r:id="rId4"/>
    <sheet name="Pivot_Cust,Del" sheetId="8" r:id="rId5"/>
    <sheet name="Dashboard" sheetId="4" r:id="rId6"/>
  </sheets>
  <definedNames>
    <definedName name="_xlchart.v5.0" hidden="1">Pivots!$K$53:$L$53</definedName>
    <definedName name="_xlchart.v5.1" hidden="1">Pivots!$K$54:$L$111</definedName>
    <definedName name="_xlchart.v5.10" hidden="1">Pivots!$I$53</definedName>
    <definedName name="_xlchart.v5.11" hidden="1">Pivots!$I$54:$I$111</definedName>
    <definedName name="_xlchart.v5.2" hidden="1">Pivots!$M$53</definedName>
    <definedName name="_xlchart.v5.3" hidden="1">Pivots!$M$54:$M$111</definedName>
    <definedName name="_xlchart.v5.4" hidden="1">Pivots!$G$53:$H$53</definedName>
    <definedName name="_xlchart.v5.5" hidden="1">Pivots!$G$54:$H$111</definedName>
    <definedName name="_xlchart.v5.6" hidden="1">Pivots!$I$53</definedName>
    <definedName name="_xlchart.v5.7" hidden="1">Pivots!$I$54:$I$111</definedName>
    <definedName name="_xlchart.v5.8" hidden="1">Pivots!$G$53:$H$53</definedName>
    <definedName name="_xlchart.v5.9" hidden="1">Pivots!$G$54:$H$111</definedName>
    <definedName name="Slicer_Gender_Value">#N/A</definedName>
    <definedName name="Slicer_Order_Mode">#N/A</definedName>
  </definedNames>
  <calcPr calcId="191029"/>
  <pivotCaches>
    <pivotCache cacheId="43"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7" l="1"/>
  <c r="K5" i="7"/>
  <c r="L5" i="7"/>
  <c r="J6" i="7"/>
  <c r="K6" i="7"/>
  <c r="L6" i="7"/>
  <c r="J7" i="7"/>
  <c r="K7" i="7"/>
  <c r="L7" i="7"/>
  <c r="J8" i="7"/>
  <c r="K8" i="7"/>
  <c r="L8" i="7"/>
  <c r="J9" i="7"/>
  <c r="K9" i="7"/>
  <c r="L9" i="7"/>
  <c r="I6" i="7"/>
  <c r="I7" i="7"/>
  <c r="I8" i="7"/>
  <c r="I9" i="7"/>
  <c r="J4" i="7"/>
  <c r="K4" i="7"/>
  <c r="L4" i="7"/>
  <c r="I4" i="7"/>
  <c r="H6" i="7"/>
  <c r="H7" i="7"/>
  <c r="H8" i="7"/>
  <c r="H9" i="7"/>
  <c r="I5" i="7"/>
  <c r="H5" i="7"/>
  <c r="M4" i="3"/>
  <c r="K4" i="3"/>
  <c r="I4" i="3"/>
  <c r="J4" i="3"/>
  <c r="L4" i="3"/>
  <c r="H4" i="3"/>
  <c r="O2" i="1" a="1"/>
  <c r="O2" i="1" s="1"/>
  <c r="N2" i="1"/>
  <c r="M2" i="1"/>
  <c r="N24" i="1"/>
  <c r="O2401" i="1" a="1"/>
  <c r="O2401" i="1" s="1"/>
  <c r="N2401" i="1"/>
  <c r="M2401" i="1"/>
  <c r="O2400" i="1" a="1"/>
  <c r="O2400" i="1" s="1"/>
  <c r="N2400" i="1"/>
  <c r="M2400" i="1"/>
  <c r="O2399" i="1" a="1"/>
  <c r="O2399" i="1" s="1"/>
  <c r="N2399" i="1"/>
  <c r="M2399" i="1"/>
  <c r="O2398" i="1" a="1"/>
  <c r="O2398" i="1" s="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c r="O2391" i="1" a="1"/>
  <c r="N2391" i="1"/>
  <c r="M2391" i="1"/>
  <c r="O2390" i="1" a="1"/>
  <c r="O2390" i="1" s="1"/>
  <c r="N2390" i="1"/>
  <c r="M2390" i="1"/>
  <c r="O2389" i="1" a="1"/>
  <c r="O2389" i="1" s="1"/>
  <c r="N2389" i="1"/>
  <c r="M2389" i="1"/>
  <c r="O2388" i="1" a="1"/>
  <c r="O2388" i="1" s="1"/>
  <c r="N2388" i="1"/>
  <c r="M2388" i="1"/>
  <c r="O2387" i="1" a="1"/>
  <c r="O2387" i="1" s="1"/>
  <c r="N2387" i="1"/>
  <c r="M2387" i="1"/>
  <c r="O2386" i="1" a="1"/>
  <c r="O2386" i="1" s="1"/>
  <c r="N2386" i="1"/>
  <c r="M2386" i="1"/>
  <c r="O2385" i="1" a="1"/>
  <c r="O2385" i="1" s="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c r="O2379" i="1" a="1"/>
  <c r="N2379" i="1"/>
  <c r="M2379" i="1"/>
  <c r="O2378" i="1" a="1"/>
  <c r="O2378" i="1" s="1"/>
  <c r="N2378" i="1"/>
  <c r="M2378" i="1"/>
  <c r="O2377" i="1" a="1"/>
  <c r="O2377" i="1" s="1"/>
  <c r="N2377" i="1"/>
  <c r="M2377" i="1"/>
  <c r="O2376" i="1" a="1"/>
  <c r="O2376" i="1" s="1"/>
  <c r="N2376" i="1"/>
  <c r="M2376" i="1"/>
  <c r="O2375" i="1" a="1"/>
  <c r="O2375" i="1" s="1"/>
  <c r="N2375" i="1"/>
  <c r="M2375" i="1"/>
  <c r="O2374" i="1" a="1"/>
  <c r="O2374" i="1" s="1"/>
  <c r="N2374" i="1"/>
  <c r="M2374" i="1"/>
  <c r="O2373" i="1" a="1"/>
  <c r="O2373" i="1" s="1"/>
  <c r="N2373" i="1"/>
  <c r="M2373" i="1"/>
  <c r="O2372" i="1"/>
  <c r="O2372" i="1" a="1"/>
  <c r="N2372" i="1"/>
  <c r="M2372" i="1"/>
  <c r="O2371" i="1" a="1"/>
  <c r="O2371" i="1" s="1"/>
  <c r="N2371" i="1"/>
  <c r="M2371" i="1"/>
  <c r="O2370" i="1"/>
  <c r="O2370" i="1" a="1"/>
  <c r="N2370" i="1"/>
  <c r="M2370" i="1"/>
  <c r="O2369" i="1"/>
  <c r="O2369" i="1" a="1"/>
  <c r="N2369" i="1"/>
  <c r="M2369" i="1"/>
  <c r="O2368" i="1" a="1"/>
  <c r="O2368" i="1" s="1"/>
  <c r="N2368" i="1"/>
  <c r="M2368" i="1"/>
  <c r="O2367" i="1" a="1"/>
  <c r="O2367" i="1" s="1"/>
  <c r="N2367" i="1"/>
  <c r="M2367" i="1"/>
  <c r="O2366" i="1" a="1"/>
  <c r="O2366" i="1" s="1"/>
  <c r="N2366" i="1"/>
  <c r="M2366" i="1"/>
  <c r="O2365" i="1" a="1"/>
  <c r="O2365" i="1" s="1"/>
  <c r="N2365" i="1"/>
  <c r="M2365" i="1"/>
  <c r="O2364" i="1" a="1"/>
  <c r="O2364" i="1" s="1"/>
  <c r="N2364" i="1"/>
  <c r="M2364" i="1"/>
  <c r="O2363" i="1"/>
  <c r="O2363" i="1" a="1"/>
  <c r="N2363" i="1"/>
  <c r="M2363" i="1"/>
  <c r="O2362" i="1" a="1"/>
  <c r="O2362" i="1" s="1"/>
  <c r="N2362" i="1"/>
  <c r="M2362" i="1"/>
  <c r="O2361" i="1"/>
  <c r="O2361" i="1" a="1"/>
  <c r="N2361" i="1"/>
  <c r="M2361" i="1"/>
  <c r="O2360" i="1" a="1"/>
  <c r="O2360" i="1" s="1"/>
  <c r="N2360" i="1"/>
  <c r="M2360" i="1"/>
  <c r="O2359" i="1" a="1"/>
  <c r="O2359" i="1" s="1"/>
  <c r="N2359" i="1"/>
  <c r="M2359" i="1"/>
  <c r="O2358" i="1"/>
  <c r="O2358" i="1" a="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c r="O2352" i="1" a="1"/>
  <c r="N2352" i="1"/>
  <c r="M2352" i="1"/>
  <c r="O2351" i="1" a="1"/>
  <c r="O2351" i="1" s="1"/>
  <c r="N2351" i="1"/>
  <c r="M2351" i="1"/>
  <c r="O2350" i="1" a="1"/>
  <c r="O2350" i="1" s="1"/>
  <c r="N2350" i="1"/>
  <c r="M2350" i="1"/>
  <c r="O2349" i="1" a="1"/>
  <c r="O2349" i="1" s="1"/>
  <c r="N2349" i="1"/>
  <c r="M2349" i="1"/>
  <c r="O2348" i="1"/>
  <c r="O2348" i="1" a="1"/>
  <c r="N2348" i="1"/>
  <c r="M2348" i="1"/>
  <c r="O2347" i="1" a="1"/>
  <c r="O2347" i="1" s="1"/>
  <c r="N2347" i="1"/>
  <c r="M2347" i="1"/>
  <c r="O2346" i="1"/>
  <c r="O2346" i="1" a="1"/>
  <c r="N2346" i="1"/>
  <c r="M2346" i="1"/>
  <c r="O2345" i="1"/>
  <c r="O2345" i="1" a="1"/>
  <c r="N2345" i="1"/>
  <c r="M2345" i="1"/>
  <c r="O2344" i="1" a="1"/>
  <c r="O2344" i="1" s="1"/>
  <c r="N2344" i="1"/>
  <c r="M2344" i="1"/>
  <c r="O2343" i="1" a="1"/>
  <c r="O2343" i="1" s="1"/>
  <c r="N2343" i="1"/>
  <c r="M2343" i="1"/>
  <c r="O2342" i="1" a="1"/>
  <c r="O2342" i="1" s="1"/>
  <c r="N2342" i="1"/>
  <c r="M2342" i="1"/>
  <c r="O2341" i="1" a="1"/>
  <c r="O2341" i="1" s="1"/>
  <c r="N2341" i="1"/>
  <c r="M2341" i="1"/>
  <c r="O2340" i="1" a="1"/>
  <c r="O2340" i="1" s="1"/>
  <c r="N2340" i="1"/>
  <c r="M2340" i="1"/>
  <c r="O2339" i="1" a="1"/>
  <c r="O2339" i="1" s="1"/>
  <c r="N2339" i="1"/>
  <c r="M2339" i="1"/>
  <c r="O2338" i="1" a="1"/>
  <c r="O2338" i="1" s="1"/>
  <c r="N2338" i="1"/>
  <c r="M2338" i="1"/>
  <c r="O2337" i="1"/>
  <c r="O2337" i="1" a="1"/>
  <c r="N2337" i="1"/>
  <c r="M2337" i="1"/>
  <c r="O2336" i="1" a="1"/>
  <c r="O2336" i="1" s="1"/>
  <c r="N2336" i="1"/>
  <c r="M2336" i="1"/>
  <c r="O2335" i="1" a="1"/>
  <c r="O2335" i="1" s="1"/>
  <c r="N2335" i="1"/>
  <c r="M2335" i="1"/>
  <c r="O2334" i="1" a="1"/>
  <c r="O2334" i="1" s="1"/>
  <c r="N2334" i="1"/>
  <c r="M2334" i="1"/>
  <c r="O2333" i="1"/>
  <c r="O2333" i="1" a="1"/>
  <c r="N2333" i="1"/>
  <c r="M2333" i="1"/>
  <c r="O2332" i="1" a="1"/>
  <c r="O2332" i="1" s="1"/>
  <c r="N2332" i="1"/>
  <c r="M2332" i="1"/>
  <c r="O2331" i="1" a="1"/>
  <c r="O2331" i="1" s="1"/>
  <c r="N2331" i="1"/>
  <c r="M2331" i="1"/>
  <c r="O2330" i="1" a="1"/>
  <c r="O2330" i="1" s="1"/>
  <c r="N2330" i="1"/>
  <c r="M2330" i="1"/>
  <c r="O2329" i="1" a="1"/>
  <c r="O2329" i="1" s="1"/>
  <c r="N2329" i="1"/>
  <c r="M2329" i="1"/>
  <c r="O2328" i="1" a="1"/>
  <c r="O2328" i="1" s="1"/>
  <c r="N2328" i="1"/>
  <c r="M2328" i="1"/>
  <c r="O2327" i="1"/>
  <c r="O2327" i="1" a="1"/>
  <c r="N2327" i="1"/>
  <c r="M2327" i="1"/>
  <c r="O2326" i="1" a="1"/>
  <c r="O2326" i="1" s="1"/>
  <c r="N2326" i="1"/>
  <c r="M2326" i="1"/>
  <c r="O2325" i="1"/>
  <c r="O2325" i="1" a="1"/>
  <c r="N2325" i="1"/>
  <c r="M2325" i="1"/>
  <c r="O2324" i="1" a="1"/>
  <c r="O2324" i="1" s="1"/>
  <c r="N2324" i="1"/>
  <c r="M2324" i="1"/>
  <c r="O2323" i="1" a="1"/>
  <c r="O2323" i="1" s="1"/>
  <c r="N2323" i="1"/>
  <c r="M2323" i="1"/>
  <c r="O2322" i="1" a="1"/>
  <c r="O2322" i="1" s="1"/>
  <c r="N2322" i="1"/>
  <c r="M2322" i="1"/>
  <c r="O2321" i="1" a="1"/>
  <c r="O2321" i="1" s="1"/>
  <c r="N2321" i="1"/>
  <c r="M2321" i="1"/>
  <c r="O2320" i="1" a="1"/>
  <c r="O2320" i="1" s="1"/>
  <c r="N2320" i="1"/>
  <c r="M2320" i="1"/>
  <c r="O2319" i="1" a="1"/>
  <c r="O2319" i="1" s="1"/>
  <c r="N2319" i="1"/>
  <c r="M2319" i="1"/>
  <c r="O2318" i="1" a="1"/>
  <c r="O2318" i="1" s="1"/>
  <c r="N2318" i="1"/>
  <c r="M2318" i="1"/>
  <c r="O2317" i="1" a="1"/>
  <c r="O2317" i="1" s="1"/>
  <c r="N2317" i="1"/>
  <c r="M2317" i="1"/>
  <c r="O2316" i="1" a="1"/>
  <c r="O2316" i="1" s="1"/>
  <c r="N2316" i="1"/>
  <c r="M2316" i="1"/>
  <c r="O2315" i="1" a="1"/>
  <c r="O2315" i="1" s="1"/>
  <c r="N2315" i="1"/>
  <c r="M2315" i="1"/>
  <c r="O2314" i="1" a="1"/>
  <c r="O2314" i="1" s="1"/>
  <c r="N2314" i="1"/>
  <c r="M2314" i="1"/>
  <c r="O2313" i="1"/>
  <c r="O2313" i="1" a="1"/>
  <c r="N2313" i="1"/>
  <c r="M2313" i="1"/>
  <c r="O2312" i="1"/>
  <c r="O2312" i="1" a="1"/>
  <c r="N2312" i="1"/>
  <c r="M2312" i="1"/>
  <c r="O2311" i="1" a="1"/>
  <c r="O2311" i="1" s="1"/>
  <c r="N2311" i="1"/>
  <c r="M2311" i="1"/>
  <c r="O2310" i="1" a="1"/>
  <c r="O2310" i="1" s="1"/>
  <c r="N2310" i="1"/>
  <c r="M2310" i="1"/>
  <c r="O2309" i="1"/>
  <c r="O2309" i="1" a="1"/>
  <c r="N2309" i="1"/>
  <c r="M2309" i="1"/>
  <c r="O2308" i="1" a="1"/>
  <c r="O2308" i="1" s="1"/>
  <c r="N2308" i="1"/>
  <c r="M2308" i="1"/>
  <c r="O2307" i="1" a="1"/>
  <c r="O2307" i="1" s="1"/>
  <c r="N2307" i="1"/>
  <c r="M2307" i="1"/>
  <c r="O2306" i="1" a="1"/>
  <c r="O2306" i="1" s="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a="1"/>
  <c r="O2298" i="1" s="1"/>
  <c r="N2298" i="1"/>
  <c r="M2298" i="1"/>
  <c r="O2297" i="1" a="1"/>
  <c r="O2297" i="1" s="1"/>
  <c r="N2297" i="1"/>
  <c r="M2297" i="1"/>
  <c r="O2296" i="1" a="1"/>
  <c r="O2296" i="1" s="1"/>
  <c r="N2296" i="1"/>
  <c r="M2296" i="1"/>
  <c r="O2295" i="1" a="1"/>
  <c r="O2295" i="1" s="1"/>
  <c r="N2295" i="1"/>
  <c r="M2295" i="1"/>
  <c r="O2294" i="1" a="1"/>
  <c r="O2294" i="1" s="1"/>
  <c r="N2294" i="1"/>
  <c r="M2294" i="1"/>
  <c r="O2293" i="1" a="1"/>
  <c r="O2293" i="1" s="1"/>
  <c r="N2293" i="1"/>
  <c r="M2293" i="1"/>
  <c r="O2292" i="1" a="1"/>
  <c r="O2292" i="1" s="1"/>
  <c r="N2292" i="1"/>
  <c r="M2292" i="1"/>
  <c r="O2291" i="1" a="1"/>
  <c r="O2291" i="1" s="1"/>
  <c r="N2291" i="1"/>
  <c r="M2291" i="1"/>
  <c r="O2290" i="1" a="1"/>
  <c r="O2290" i="1" s="1"/>
  <c r="N2290" i="1"/>
  <c r="M2290" i="1"/>
  <c r="O2289" i="1"/>
  <c r="O2289" i="1" a="1"/>
  <c r="N2289" i="1"/>
  <c r="M2289" i="1"/>
  <c r="O2288" i="1"/>
  <c r="O2288" i="1" a="1"/>
  <c r="N2288" i="1"/>
  <c r="M2288" i="1"/>
  <c r="O2287" i="1" a="1"/>
  <c r="O2287" i="1" s="1"/>
  <c r="N2287" i="1"/>
  <c r="M2287" i="1"/>
  <c r="O2286" i="1" a="1"/>
  <c r="O2286" i="1" s="1"/>
  <c r="N2286" i="1"/>
  <c r="M2286" i="1"/>
  <c r="O2285" i="1" a="1"/>
  <c r="O2285" i="1" s="1"/>
  <c r="N2285" i="1"/>
  <c r="M2285" i="1"/>
  <c r="O2284" i="1" a="1"/>
  <c r="O2284" i="1" s="1"/>
  <c r="N2284" i="1"/>
  <c r="M2284" i="1"/>
  <c r="O2283" i="1"/>
  <c r="O2283" i="1" a="1"/>
  <c r="N2283" i="1"/>
  <c r="M2283" i="1"/>
  <c r="O2282" i="1" a="1"/>
  <c r="O2282" i="1" s="1"/>
  <c r="N2282" i="1"/>
  <c r="M2282" i="1"/>
  <c r="O2281" i="1" a="1"/>
  <c r="O2281" i="1" s="1"/>
  <c r="N2281" i="1"/>
  <c r="M2281" i="1"/>
  <c r="O2280" i="1"/>
  <c r="O2280" i="1" a="1"/>
  <c r="N2280" i="1"/>
  <c r="M2280" i="1"/>
  <c r="O2279" i="1" a="1"/>
  <c r="O2279" i="1" s="1"/>
  <c r="N2279" i="1"/>
  <c r="M2279" i="1"/>
  <c r="O2278" i="1" a="1"/>
  <c r="O2278" i="1" s="1"/>
  <c r="N2278" i="1"/>
  <c r="M2278" i="1"/>
  <c r="O2277" i="1"/>
  <c r="O2277" i="1" a="1"/>
  <c r="N2277" i="1"/>
  <c r="M2277" i="1"/>
  <c r="O2276" i="1"/>
  <c r="O2276" i="1" a="1"/>
  <c r="N2276" i="1"/>
  <c r="M2276" i="1"/>
  <c r="O2275" i="1" a="1"/>
  <c r="O2275" i="1" s="1"/>
  <c r="N2275" i="1"/>
  <c r="M2275" i="1"/>
  <c r="O2274" i="1"/>
  <c r="O2274" i="1" a="1"/>
  <c r="N2274" i="1"/>
  <c r="M2274" i="1"/>
  <c r="O2273" i="1" a="1"/>
  <c r="O2273" i="1" s="1"/>
  <c r="N2273" i="1"/>
  <c r="M2273" i="1"/>
  <c r="O2272" i="1" a="1"/>
  <c r="O2272" i="1" s="1"/>
  <c r="N2272" i="1"/>
  <c r="M2272" i="1"/>
  <c r="O2271" i="1" a="1"/>
  <c r="O2271" i="1" s="1"/>
  <c r="N2271" i="1"/>
  <c r="M2271" i="1"/>
  <c r="O2270" i="1"/>
  <c r="O2270" i="1" a="1"/>
  <c r="N2270" i="1"/>
  <c r="M2270" i="1"/>
  <c r="O2269" i="1" a="1"/>
  <c r="O2269" i="1" s="1"/>
  <c r="N2269" i="1"/>
  <c r="M2269" i="1"/>
  <c r="O2268" i="1" a="1"/>
  <c r="O2268" i="1" s="1"/>
  <c r="N2268" i="1"/>
  <c r="M2268" i="1"/>
  <c r="O2267" i="1"/>
  <c r="O2267" i="1" a="1"/>
  <c r="N2267" i="1"/>
  <c r="M2267" i="1"/>
  <c r="O2266" i="1" a="1"/>
  <c r="O2266" i="1" s="1"/>
  <c r="N2266" i="1"/>
  <c r="M2266" i="1"/>
  <c r="O2265" i="1"/>
  <c r="O2265" i="1" a="1"/>
  <c r="N2265" i="1"/>
  <c r="M2265" i="1"/>
  <c r="O2264" i="1"/>
  <c r="O2264" i="1" a="1"/>
  <c r="N2264" i="1"/>
  <c r="M2264" i="1"/>
  <c r="O2263" i="1" a="1"/>
  <c r="O2263" i="1" s="1"/>
  <c r="N2263" i="1"/>
  <c r="M2263" i="1"/>
  <c r="O2262" i="1"/>
  <c r="O2262" i="1" a="1"/>
  <c r="N2262" i="1"/>
  <c r="M2262" i="1"/>
  <c r="O2261" i="1" a="1"/>
  <c r="O2261" i="1" s="1"/>
  <c r="N2261" i="1"/>
  <c r="M2261" i="1"/>
  <c r="O2260" i="1" a="1"/>
  <c r="O2260" i="1" s="1"/>
  <c r="N2260" i="1"/>
  <c r="M2260" i="1"/>
  <c r="O2259" i="1" a="1"/>
  <c r="O2259" i="1" s="1"/>
  <c r="N2259" i="1"/>
  <c r="M2259" i="1"/>
  <c r="O2258" i="1" a="1"/>
  <c r="O2258" i="1" s="1"/>
  <c r="N2258" i="1"/>
  <c r="M2258" i="1"/>
  <c r="O2257" i="1" a="1"/>
  <c r="O2257" i="1" s="1"/>
  <c r="N2257" i="1"/>
  <c r="M2257" i="1"/>
  <c r="O2256" i="1" a="1"/>
  <c r="O2256" i="1" s="1"/>
  <c r="N2256" i="1"/>
  <c r="M2256" i="1"/>
  <c r="O2255" i="1"/>
  <c r="O2255" i="1" a="1"/>
  <c r="N2255" i="1"/>
  <c r="M2255" i="1"/>
  <c r="O2254" i="1" a="1"/>
  <c r="O2254" i="1" s="1"/>
  <c r="N2254" i="1"/>
  <c r="M2254" i="1"/>
  <c r="O2253" i="1"/>
  <c r="O2253" i="1" a="1"/>
  <c r="N2253" i="1"/>
  <c r="M2253" i="1"/>
  <c r="O2252" i="1" a="1"/>
  <c r="O2252" i="1" s="1"/>
  <c r="N2252" i="1"/>
  <c r="M2252" i="1"/>
  <c r="O2251" i="1" a="1"/>
  <c r="O2251" i="1" s="1"/>
  <c r="N2251" i="1"/>
  <c r="M2251" i="1"/>
  <c r="O2250" i="1"/>
  <c r="O2250" i="1" a="1"/>
  <c r="N2250" i="1"/>
  <c r="M2250" i="1"/>
  <c r="O2249" i="1" a="1"/>
  <c r="O2249" i="1" s="1"/>
  <c r="N2249" i="1"/>
  <c r="M2249" i="1"/>
  <c r="O2248" i="1" a="1"/>
  <c r="O2248" i="1" s="1"/>
  <c r="N2248" i="1"/>
  <c r="M2248" i="1"/>
  <c r="O2247" i="1" a="1"/>
  <c r="O2247" i="1" s="1"/>
  <c r="N2247" i="1"/>
  <c r="M2247" i="1"/>
  <c r="O2246" i="1" a="1"/>
  <c r="O2246" i="1" s="1"/>
  <c r="N2246" i="1"/>
  <c r="M2246" i="1"/>
  <c r="O2245" i="1" a="1"/>
  <c r="O2245" i="1" s="1"/>
  <c r="N2245" i="1"/>
  <c r="M2245" i="1"/>
  <c r="O2244" i="1" a="1"/>
  <c r="O2244" i="1" s="1"/>
  <c r="N2244" i="1"/>
  <c r="M2244" i="1"/>
  <c r="O2243" i="1" a="1"/>
  <c r="O2243" i="1" s="1"/>
  <c r="N2243" i="1"/>
  <c r="M2243" i="1"/>
  <c r="O2242" i="1" a="1"/>
  <c r="O2242" i="1" s="1"/>
  <c r="N2242" i="1"/>
  <c r="M2242" i="1"/>
  <c r="O2241" i="1"/>
  <c r="O2241" i="1" a="1"/>
  <c r="N2241" i="1"/>
  <c r="M2241" i="1"/>
  <c r="O2240" i="1"/>
  <c r="O2240" i="1" a="1"/>
  <c r="N2240" i="1"/>
  <c r="M2240" i="1"/>
  <c r="O2239" i="1" a="1"/>
  <c r="O2239" i="1" s="1"/>
  <c r="N2239" i="1"/>
  <c r="M2239" i="1"/>
  <c r="O2238" i="1"/>
  <c r="O2238" i="1" a="1"/>
  <c r="N2238" i="1"/>
  <c r="M2238" i="1"/>
  <c r="O2237" i="1"/>
  <c r="O2237" i="1" a="1"/>
  <c r="N2237" i="1"/>
  <c r="M2237" i="1"/>
  <c r="O2236" i="1" a="1"/>
  <c r="O2236" i="1" s="1"/>
  <c r="N2236" i="1"/>
  <c r="M2236" i="1"/>
  <c r="O2235" i="1"/>
  <c r="O2235" i="1" a="1"/>
  <c r="N2235" i="1"/>
  <c r="M2235" i="1"/>
  <c r="O2234" i="1" a="1"/>
  <c r="O2234" i="1" s="1"/>
  <c r="N2234" i="1"/>
  <c r="M2234" i="1"/>
  <c r="O2233" i="1" a="1"/>
  <c r="O2233" i="1" s="1"/>
  <c r="N2233" i="1"/>
  <c r="M2233" i="1"/>
  <c r="O2232" i="1" a="1"/>
  <c r="O2232" i="1" s="1"/>
  <c r="N2232" i="1"/>
  <c r="M2232" i="1"/>
  <c r="O2231" i="1" a="1"/>
  <c r="O2231" i="1" s="1"/>
  <c r="N2231" i="1"/>
  <c r="M2231" i="1"/>
  <c r="O2230" i="1" a="1"/>
  <c r="O2230" i="1" s="1"/>
  <c r="N2230" i="1"/>
  <c r="M2230" i="1"/>
  <c r="O2229" i="1"/>
  <c r="O2229" i="1" a="1"/>
  <c r="N2229" i="1"/>
  <c r="M2229" i="1"/>
  <c r="O2228" i="1"/>
  <c r="O2228" i="1" a="1"/>
  <c r="N2228" i="1"/>
  <c r="M2228" i="1"/>
  <c r="O2227" i="1" a="1"/>
  <c r="O2227" i="1" s="1"/>
  <c r="N2227" i="1"/>
  <c r="M2227" i="1"/>
  <c r="O2226" i="1" a="1"/>
  <c r="O2226" i="1" s="1"/>
  <c r="N2226" i="1"/>
  <c r="M2226" i="1"/>
  <c r="O2225" i="1"/>
  <c r="O2225" i="1" a="1"/>
  <c r="N2225" i="1"/>
  <c r="M2225" i="1"/>
  <c r="O2224" i="1" a="1"/>
  <c r="O2224" i="1" s="1"/>
  <c r="N2224" i="1"/>
  <c r="M2224" i="1"/>
  <c r="O2223" i="1" a="1"/>
  <c r="O2223" i="1" s="1"/>
  <c r="N2223" i="1"/>
  <c r="M2223" i="1"/>
  <c r="O2222" i="1" a="1"/>
  <c r="O2222" i="1" s="1"/>
  <c r="N2222" i="1"/>
  <c r="M2222" i="1"/>
  <c r="O2221" i="1" a="1"/>
  <c r="O2221" i="1" s="1"/>
  <c r="N2221" i="1"/>
  <c r="M2221" i="1"/>
  <c r="O2220" i="1" a="1"/>
  <c r="O2220" i="1" s="1"/>
  <c r="N2220" i="1"/>
  <c r="M2220" i="1"/>
  <c r="O2219" i="1" a="1"/>
  <c r="O2219" i="1" s="1"/>
  <c r="N2219" i="1"/>
  <c r="M2219" i="1"/>
  <c r="O2218" i="1" a="1"/>
  <c r="O2218" i="1" s="1"/>
  <c r="N2218" i="1"/>
  <c r="M2218" i="1"/>
  <c r="O2217" i="1"/>
  <c r="O2217" i="1" a="1"/>
  <c r="N2217" i="1"/>
  <c r="M2217" i="1"/>
  <c r="O2216" i="1"/>
  <c r="O2216" i="1" a="1"/>
  <c r="N2216" i="1"/>
  <c r="M2216" i="1"/>
  <c r="O2215" i="1" a="1"/>
  <c r="O2215" i="1" s="1"/>
  <c r="N2215" i="1"/>
  <c r="M2215" i="1"/>
  <c r="O2214" i="1" a="1"/>
  <c r="O2214" i="1" s="1"/>
  <c r="N2214" i="1"/>
  <c r="M2214" i="1"/>
  <c r="O2213" i="1" a="1"/>
  <c r="O2213" i="1" s="1"/>
  <c r="N2213" i="1"/>
  <c r="M2213" i="1"/>
  <c r="O2212" i="1" a="1"/>
  <c r="O2212" i="1" s="1"/>
  <c r="N2212" i="1"/>
  <c r="M2212" i="1"/>
  <c r="O2211" i="1" a="1"/>
  <c r="O2211" i="1" s="1"/>
  <c r="N2211" i="1"/>
  <c r="M2211" i="1"/>
  <c r="O2210" i="1" a="1"/>
  <c r="O2210" i="1" s="1"/>
  <c r="N2210" i="1"/>
  <c r="M2210" i="1"/>
  <c r="O2209" i="1" a="1"/>
  <c r="O2209" i="1" s="1"/>
  <c r="N2209" i="1"/>
  <c r="M2209" i="1"/>
  <c r="O2208" i="1" a="1"/>
  <c r="O2208" i="1" s="1"/>
  <c r="N2208" i="1"/>
  <c r="M2208" i="1"/>
  <c r="O2207" i="1" a="1"/>
  <c r="O2207" i="1" s="1"/>
  <c r="N2207" i="1"/>
  <c r="M2207" i="1"/>
  <c r="O2206" i="1" a="1"/>
  <c r="O2206" i="1" s="1"/>
  <c r="N2206" i="1"/>
  <c r="M2206" i="1"/>
  <c r="O2205" i="1"/>
  <c r="O2205" i="1" a="1"/>
  <c r="N2205" i="1"/>
  <c r="M2205" i="1"/>
  <c r="O2204" i="1"/>
  <c r="O2204" i="1" a="1"/>
  <c r="N2204" i="1"/>
  <c r="M2204" i="1"/>
  <c r="O2203" i="1" a="1"/>
  <c r="O2203" i="1" s="1"/>
  <c r="N2203" i="1"/>
  <c r="M2203" i="1"/>
  <c r="O2202" i="1"/>
  <c r="O2202" i="1" a="1"/>
  <c r="N2202" i="1"/>
  <c r="M2202" i="1"/>
  <c r="O2201" i="1"/>
  <c r="O2201" i="1" a="1"/>
  <c r="N2201" i="1"/>
  <c r="M2201" i="1"/>
  <c r="O2200" i="1" a="1"/>
  <c r="O2200" i="1" s="1"/>
  <c r="N2200" i="1"/>
  <c r="M2200" i="1"/>
  <c r="O2199" i="1" a="1"/>
  <c r="O2199" i="1" s="1"/>
  <c r="N2199" i="1"/>
  <c r="M2199" i="1"/>
  <c r="O2198" i="1" a="1"/>
  <c r="O2198" i="1" s="1"/>
  <c r="N2198" i="1"/>
  <c r="M2198" i="1"/>
  <c r="O2197" i="1" a="1"/>
  <c r="O2197" i="1" s="1"/>
  <c r="N2197" i="1"/>
  <c r="M2197" i="1"/>
  <c r="O2196" i="1" a="1"/>
  <c r="O2196" i="1" s="1"/>
  <c r="N2196" i="1"/>
  <c r="M2196" i="1"/>
  <c r="O2195" i="1" a="1"/>
  <c r="O2195" i="1" s="1"/>
  <c r="N2195" i="1"/>
  <c r="M2195" i="1"/>
  <c r="O2194" i="1" a="1"/>
  <c r="O2194" i="1" s="1"/>
  <c r="N2194" i="1"/>
  <c r="M2194" i="1"/>
  <c r="O2193" i="1" a="1"/>
  <c r="O2193" i="1" s="1"/>
  <c r="N2193" i="1"/>
  <c r="M2193" i="1"/>
  <c r="O2192" i="1"/>
  <c r="O2192" i="1" a="1"/>
  <c r="N2192" i="1"/>
  <c r="M2192" i="1"/>
  <c r="O2191" i="1" a="1"/>
  <c r="O2191" i="1" s="1"/>
  <c r="N2191" i="1"/>
  <c r="M2191" i="1"/>
  <c r="O2190" i="1" a="1"/>
  <c r="O2190" i="1" s="1"/>
  <c r="N2190" i="1"/>
  <c r="M2190" i="1"/>
  <c r="O2189" i="1" a="1"/>
  <c r="O2189" i="1" s="1"/>
  <c r="N2189" i="1"/>
  <c r="M2189" i="1"/>
  <c r="O2188" i="1" a="1"/>
  <c r="O2188" i="1" s="1"/>
  <c r="N2188" i="1"/>
  <c r="M2188" i="1"/>
  <c r="O2187" i="1" a="1"/>
  <c r="O2187" i="1" s="1"/>
  <c r="N2187" i="1"/>
  <c r="M2187" i="1"/>
  <c r="O2186" i="1"/>
  <c r="O2186" i="1" a="1"/>
  <c r="N2186" i="1"/>
  <c r="M2186" i="1"/>
  <c r="O2185" i="1" a="1"/>
  <c r="O2185" i="1" s="1"/>
  <c r="N2185" i="1"/>
  <c r="M2185" i="1"/>
  <c r="O2184" i="1" a="1"/>
  <c r="O2184" i="1" s="1"/>
  <c r="N2184" i="1"/>
  <c r="M2184" i="1"/>
  <c r="O2183" i="1" a="1"/>
  <c r="O2183" i="1" s="1"/>
  <c r="N2183" i="1"/>
  <c r="M2183" i="1"/>
  <c r="O2182" i="1" a="1"/>
  <c r="O2182" i="1" s="1"/>
  <c r="N2182" i="1"/>
  <c r="M2182" i="1"/>
  <c r="O2181" i="1"/>
  <c r="O2181" i="1" a="1"/>
  <c r="N2181" i="1"/>
  <c r="M2181" i="1"/>
  <c r="O2180" i="1" a="1"/>
  <c r="O2180" i="1" s="1"/>
  <c r="N2180" i="1"/>
  <c r="M2180" i="1"/>
  <c r="O2179" i="1" a="1"/>
  <c r="O2179" i="1" s="1"/>
  <c r="N2179" i="1"/>
  <c r="M2179" i="1"/>
  <c r="O2178" i="1" a="1"/>
  <c r="O2178" i="1" s="1"/>
  <c r="N2178" i="1"/>
  <c r="M2178" i="1"/>
  <c r="O2177" i="1" a="1"/>
  <c r="O2177" i="1" s="1"/>
  <c r="N2177" i="1"/>
  <c r="M2177" i="1"/>
  <c r="O2176" i="1" a="1"/>
  <c r="O2176" i="1" s="1"/>
  <c r="N2176" i="1"/>
  <c r="M2176" i="1"/>
  <c r="O2175" i="1"/>
  <c r="O2175" i="1" a="1"/>
  <c r="N2175" i="1"/>
  <c r="M2175" i="1"/>
  <c r="O2174" i="1" a="1"/>
  <c r="O2174" i="1" s="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c r="O2165" i="1" a="1"/>
  <c r="N2165" i="1"/>
  <c r="M2165" i="1"/>
  <c r="O2164" i="1" a="1"/>
  <c r="O2164" i="1" s="1"/>
  <c r="N2164" i="1"/>
  <c r="M2164" i="1"/>
  <c r="O2163" i="1"/>
  <c r="O2163" i="1" a="1"/>
  <c r="N2163" i="1"/>
  <c r="M2163" i="1"/>
  <c r="O2162" i="1" a="1"/>
  <c r="O2162" i="1" s="1"/>
  <c r="N2162" i="1"/>
  <c r="M2162" i="1"/>
  <c r="O2161" i="1" a="1"/>
  <c r="O2161" i="1" s="1"/>
  <c r="N2161" i="1"/>
  <c r="M2161" i="1"/>
  <c r="O2160" i="1"/>
  <c r="O2160" i="1" a="1"/>
  <c r="N2160" i="1"/>
  <c r="M2160" i="1"/>
  <c r="O2159" i="1" a="1"/>
  <c r="O2159" i="1" s="1"/>
  <c r="N2159" i="1"/>
  <c r="M2159" i="1"/>
  <c r="O2158" i="1" a="1"/>
  <c r="O2158" i="1" s="1"/>
  <c r="N2158" i="1"/>
  <c r="M2158" i="1"/>
  <c r="O2157" i="1" a="1"/>
  <c r="O2157" i="1" s="1"/>
  <c r="N2157" i="1"/>
  <c r="M2157" i="1"/>
  <c r="O2156" i="1" a="1"/>
  <c r="O2156" i="1" s="1"/>
  <c r="N2156" i="1"/>
  <c r="M2156" i="1"/>
  <c r="O2155" i="1" a="1"/>
  <c r="O2155" i="1" s="1"/>
  <c r="N2155" i="1"/>
  <c r="M2155" i="1"/>
  <c r="O2154" i="1"/>
  <c r="O2154" i="1" a="1"/>
  <c r="N2154" i="1"/>
  <c r="M2154" i="1"/>
  <c r="O2153" i="1"/>
  <c r="O2153" i="1" a="1"/>
  <c r="N2153" i="1"/>
  <c r="M2153" i="1"/>
  <c r="O2152" i="1" a="1"/>
  <c r="O2152" i="1" s="1"/>
  <c r="N2152" i="1"/>
  <c r="M2152" i="1"/>
  <c r="O2151" i="1" a="1"/>
  <c r="O2151" i="1" s="1"/>
  <c r="N2151" i="1"/>
  <c r="M2151" i="1"/>
  <c r="O2150" i="1"/>
  <c r="O2150" i="1" a="1"/>
  <c r="N2150" i="1"/>
  <c r="M2150" i="1"/>
  <c r="O2149" i="1" a="1"/>
  <c r="O2149" i="1" s="1"/>
  <c r="N2149" i="1"/>
  <c r="M2149" i="1"/>
  <c r="O2148" i="1"/>
  <c r="O2148" i="1" a="1"/>
  <c r="N2148" i="1"/>
  <c r="M2148" i="1"/>
  <c r="O2147" i="1" a="1"/>
  <c r="O2147" i="1" s="1"/>
  <c r="N2147" i="1"/>
  <c r="M2147" i="1"/>
  <c r="O2146" i="1"/>
  <c r="O2146" i="1" a="1"/>
  <c r="N2146" i="1"/>
  <c r="M2146" i="1"/>
  <c r="O2145" i="1"/>
  <c r="O2145" i="1" a="1"/>
  <c r="N2145" i="1"/>
  <c r="M2145" i="1"/>
  <c r="O2144" i="1" a="1"/>
  <c r="O2144" i="1" s="1"/>
  <c r="N2144" i="1"/>
  <c r="M2144" i="1"/>
  <c r="O2143" i="1"/>
  <c r="O2143" i="1" a="1"/>
  <c r="N2143" i="1"/>
  <c r="M2143" i="1"/>
  <c r="O2142" i="1"/>
  <c r="O2142" i="1" a="1"/>
  <c r="N2142" i="1"/>
  <c r="M2142" i="1"/>
  <c r="O2141" i="1" a="1"/>
  <c r="O2141" i="1" s="1"/>
  <c r="N2141" i="1"/>
  <c r="M2141" i="1"/>
  <c r="O2140" i="1"/>
  <c r="O2140" i="1" a="1"/>
  <c r="N2140" i="1"/>
  <c r="M2140" i="1"/>
  <c r="O2139" i="1"/>
  <c r="O2139" i="1" a="1"/>
  <c r="N2139" i="1"/>
  <c r="M2139" i="1"/>
  <c r="O2138" i="1" a="1"/>
  <c r="O2138" i="1" s="1"/>
  <c r="N2138" i="1"/>
  <c r="M2138" i="1"/>
  <c r="O2137" i="1" a="1"/>
  <c r="O2137" i="1" s="1"/>
  <c r="N2137" i="1"/>
  <c r="M2137" i="1"/>
  <c r="O2136" i="1"/>
  <c r="O2136" i="1" a="1"/>
  <c r="N2136" i="1"/>
  <c r="M2136" i="1"/>
  <c r="O2135" i="1" a="1"/>
  <c r="O2135" i="1" s="1"/>
  <c r="N2135" i="1"/>
  <c r="M2135" i="1"/>
  <c r="O2134" i="1"/>
  <c r="O2134" i="1" a="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c r="O2127" i="1" a="1"/>
  <c r="N2127" i="1"/>
  <c r="M2127" i="1"/>
  <c r="O2126" i="1" a="1"/>
  <c r="O2126" i="1" s="1"/>
  <c r="N2126" i="1"/>
  <c r="M2126" i="1"/>
  <c r="O2125" i="1" a="1"/>
  <c r="O2125" i="1" s="1"/>
  <c r="N2125" i="1"/>
  <c r="M2125" i="1"/>
  <c r="O2124" i="1"/>
  <c r="O2124" i="1" a="1"/>
  <c r="N2124" i="1"/>
  <c r="M2124" i="1"/>
  <c r="O2123" i="1" a="1"/>
  <c r="O2123" i="1" s="1"/>
  <c r="N2123" i="1"/>
  <c r="M2123" i="1"/>
  <c r="O2122" i="1" a="1"/>
  <c r="O2122" i="1" s="1"/>
  <c r="N2122" i="1"/>
  <c r="M2122" i="1"/>
  <c r="O2121" i="1"/>
  <c r="O2121" i="1" a="1"/>
  <c r="N2121" i="1"/>
  <c r="M2121" i="1"/>
  <c r="O2120" i="1" a="1"/>
  <c r="O2120" i="1" s="1"/>
  <c r="N2120" i="1"/>
  <c r="M2120" i="1"/>
  <c r="O2119" i="1"/>
  <c r="O2119" i="1" a="1"/>
  <c r="N2119" i="1"/>
  <c r="M2119" i="1"/>
  <c r="O2118" i="1"/>
  <c r="O2118" i="1" a="1"/>
  <c r="N2118" i="1"/>
  <c r="M2118" i="1"/>
  <c r="O2117" i="1" a="1"/>
  <c r="O2117" i="1" s="1"/>
  <c r="N2117" i="1"/>
  <c r="M2117" i="1"/>
  <c r="O2116" i="1" a="1"/>
  <c r="O2116" i="1" s="1"/>
  <c r="N2116" i="1"/>
  <c r="M2116" i="1"/>
  <c r="O2115" i="1"/>
  <c r="O2115" i="1" a="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c r="O2107" i="1" a="1"/>
  <c r="N2107" i="1"/>
  <c r="M2107" i="1"/>
  <c r="O2106" i="1"/>
  <c r="O2106" i="1" a="1"/>
  <c r="N2106" i="1"/>
  <c r="M2106" i="1"/>
  <c r="O2105" i="1" a="1"/>
  <c r="O2105" i="1" s="1"/>
  <c r="N2105" i="1"/>
  <c r="M2105" i="1"/>
  <c r="O2104" i="1" a="1"/>
  <c r="O2104" i="1" s="1"/>
  <c r="N2104" i="1"/>
  <c r="M2104" i="1"/>
  <c r="O2103" i="1"/>
  <c r="O2103" i="1" a="1"/>
  <c r="N2103" i="1"/>
  <c r="M2103" i="1"/>
  <c r="O2102" i="1" a="1"/>
  <c r="O2102" i="1" s="1"/>
  <c r="N2102" i="1"/>
  <c r="M2102" i="1"/>
  <c r="O2101" i="1" a="1"/>
  <c r="O2101" i="1" s="1"/>
  <c r="N2101" i="1"/>
  <c r="M2101" i="1"/>
  <c r="O2100" i="1"/>
  <c r="O2100" i="1" a="1"/>
  <c r="N2100" i="1"/>
  <c r="M2100" i="1"/>
  <c r="O2099" i="1" a="1"/>
  <c r="O2099" i="1" s="1"/>
  <c r="N2099" i="1"/>
  <c r="M2099" i="1"/>
  <c r="O2098" i="1"/>
  <c r="O2098" i="1" a="1"/>
  <c r="N2098" i="1"/>
  <c r="M2098" i="1"/>
  <c r="O2097" i="1"/>
  <c r="O2097" i="1" a="1"/>
  <c r="N2097" i="1"/>
  <c r="M2097" i="1"/>
  <c r="O2096" i="1" a="1"/>
  <c r="O2096" i="1" s="1"/>
  <c r="N2096" i="1"/>
  <c r="M2096" i="1"/>
  <c r="O2095" i="1"/>
  <c r="O2095" i="1" a="1"/>
  <c r="N2095" i="1"/>
  <c r="M2095" i="1"/>
  <c r="O2094" i="1"/>
  <c r="O2094" i="1" a="1"/>
  <c r="N2094" i="1"/>
  <c r="M2094" i="1"/>
  <c r="O2093" i="1" a="1"/>
  <c r="O2093" i="1" s="1"/>
  <c r="N2093" i="1"/>
  <c r="M2093" i="1"/>
  <c r="O2092" i="1"/>
  <c r="O2092" i="1" a="1"/>
  <c r="N2092" i="1"/>
  <c r="M2092" i="1"/>
  <c r="O2091" i="1"/>
  <c r="O2091" i="1" a="1"/>
  <c r="N2091" i="1"/>
  <c r="M2091" i="1"/>
  <c r="O2090" i="1" a="1"/>
  <c r="O2090" i="1" s="1"/>
  <c r="N2090" i="1"/>
  <c r="M2090" i="1"/>
  <c r="O2089" i="1" a="1"/>
  <c r="O2089" i="1" s="1"/>
  <c r="N2089" i="1"/>
  <c r="M2089" i="1"/>
  <c r="O2088" i="1"/>
  <c r="O2088" i="1" a="1"/>
  <c r="N2088" i="1"/>
  <c r="M2088" i="1"/>
  <c r="O2087" i="1" a="1"/>
  <c r="O2087" i="1" s="1"/>
  <c r="N2087" i="1"/>
  <c r="M2087" i="1"/>
  <c r="O2086" i="1" a="1"/>
  <c r="O2086" i="1" s="1"/>
  <c r="N2086" i="1"/>
  <c r="M2086" i="1"/>
  <c r="O2085" i="1"/>
  <c r="O2085" i="1" a="1"/>
  <c r="N2085" i="1"/>
  <c r="M2085" i="1"/>
  <c r="O2084" i="1" a="1"/>
  <c r="O2084" i="1" s="1"/>
  <c r="N2084" i="1"/>
  <c r="M2084" i="1"/>
  <c r="O2083" i="1" a="1"/>
  <c r="O2083" i="1" s="1"/>
  <c r="N2083" i="1"/>
  <c r="M2083" i="1"/>
  <c r="O2082" i="1"/>
  <c r="O2082" i="1" a="1"/>
  <c r="N2082" i="1"/>
  <c r="M2082" i="1"/>
  <c r="O2081" i="1" a="1"/>
  <c r="O2081" i="1" s="1"/>
  <c r="N2081" i="1"/>
  <c r="M2081" i="1"/>
  <c r="O2080" i="1" a="1"/>
  <c r="O2080" i="1" s="1"/>
  <c r="N2080" i="1"/>
  <c r="M2080" i="1"/>
  <c r="O2079" i="1"/>
  <c r="O2079" i="1" a="1"/>
  <c r="N2079" i="1"/>
  <c r="M2079" i="1"/>
  <c r="O2078" i="1" a="1"/>
  <c r="O2078" i="1" s="1"/>
  <c r="N2078" i="1"/>
  <c r="M2078" i="1"/>
  <c r="O2077" i="1" a="1"/>
  <c r="O2077" i="1" s="1"/>
  <c r="N2077" i="1"/>
  <c r="M2077" i="1"/>
  <c r="O2076" i="1"/>
  <c r="O2076" i="1" a="1"/>
  <c r="N2076" i="1"/>
  <c r="M2076" i="1"/>
  <c r="O2075" i="1" a="1"/>
  <c r="O2075" i="1" s="1"/>
  <c r="N2075" i="1"/>
  <c r="M2075" i="1"/>
  <c r="O2074" i="1"/>
  <c r="O2074" i="1" a="1"/>
  <c r="N2074" i="1"/>
  <c r="M2074" i="1"/>
  <c r="O2073" i="1"/>
  <c r="O2073" i="1" a="1"/>
  <c r="N2073" i="1"/>
  <c r="M2073" i="1"/>
  <c r="O2072" i="1" a="1"/>
  <c r="O2072" i="1" s="1"/>
  <c r="N2072" i="1"/>
  <c r="M2072" i="1"/>
  <c r="O2071" i="1"/>
  <c r="O2071" i="1" a="1"/>
  <c r="N2071" i="1"/>
  <c r="M2071" i="1"/>
  <c r="O2070" i="1"/>
  <c r="O2070" i="1" a="1"/>
  <c r="N2070" i="1"/>
  <c r="M2070" i="1"/>
  <c r="O2069" i="1" a="1"/>
  <c r="O2069" i="1" s="1"/>
  <c r="N2069" i="1"/>
  <c r="M2069" i="1"/>
  <c r="O2068" i="1"/>
  <c r="O2068" i="1" a="1"/>
  <c r="N2068" i="1"/>
  <c r="M2068" i="1"/>
  <c r="O2067" i="1"/>
  <c r="O2067" i="1" a="1"/>
  <c r="N2067" i="1"/>
  <c r="M2067" i="1"/>
  <c r="O2066" i="1" a="1"/>
  <c r="O2066" i="1" s="1"/>
  <c r="N2066" i="1"/>
  <c r="M2066" i="1"/>
  <c r="O2065" i="1" a="1"/>
  <c r="O2065" i="1" s="1"/>
  <c r="N2065" i="1"/>
  <c r="M2065" i="1"/>
  <c r="O2064" i="1"/>
  <c r="O2064" i="1" a="1"/>
  <c r="N2064" i="1"/>
  <c r="M2064" i="1"/>
  <c r="O2063" i="1" a="1"/>
  <c r="O2063" i="1" s="1"/>
  <c r="N2063" i="1"/>
  <c r="M2063" i="1"/>
  <c r="O2062" i="1"/>
  <c r="O2062" i="1" a="1"/>
  <c r="N2062" i="1"/>
  <c r="M2062" i="1"/>
  <c r="O2061" i="1"/>
  <c r="O2061" i="1" a="1"/>
  <c r="N2061" i="1"/>
  <c r="M2061" i="1"/>
  <c r="O2060" i="1" a="1"/>
  <c r="O2060" i="1" s="1"/>
  <c r="N2060" i="1"/>
  <c r="M2060" i="1"/>
  <c r="O2059" i="1"/>
  <c r="O2059" i="1" a="1"/>
  <c r="N2059" i="1"/>
  <c r="M2059" i="1"/>
  <c r="O2058" i="1"/>
  <c r="O2058" i="1" a="1"/>
  <c r="N2058" i="1"/>
  <c r="M2058" i="1"/>
  <c r="O2057" i="1" a="1"/>
  <c r="O2057" i="1" s="1"/>
  <c r="N2057" i="1"/>
  <c r="M2057" i="1"/>
  <c r="O2056" i="1" a="1"/>
  <c r="O2056" i="1" s="1"/>
  <c r="N2056" i="1"/>
  <c r="M2056" i="1"/>
  <c r="O2055" i="1"/>
  <c r="O2055" i="1" a="1"/>
  <c r="N2055" i="1"/>
  <c r="M2055" i="1"/>
  <c r="O2054" i="1" a="1"/>
  <c r="O2054" i="1" s="1"/>
  <c r="N2054" i="1"/>
  <c r="M2054" i="1"/>
  <c r="O2053" i="1"/>
  <c r="O2053" i="1" a="1"/>
  <c r="N2053" i="1"/>
  <c r="M2053" i="1"/>
  <c r="O2052" i="1"/>
  <c r="O2052" i="1" a="1"/>
  <c r="N2052" i="1"/>
  <c r="M2052" i="1"/>
  <c r="O2051" i="1" a="1"/>
  <c r="O2051" i="1" s="1"/>
  <c r="N2051" i="1"/>
  <c r="M2051" i="1"/>
  <c r="O2050" i="1" a="1"/>
  <c r="O2050" i="1" s="1"/>
  <c r="N2050" i="1"/>
  <c r="M2050" i="1"/>
  <c r="O2049" i="1"/>
  <c r="O2049" i="1" a="1"/>
  <c r="N2049" i="1"/>
  <c r="M2049" i="1"/>
  <c r="O2048" i="1" a="1"/>
  <c r="O2048" i="1" s="1"/>
  <c r="N2048" i="1"/>
  <c r="M2048" i="1"/>
  <c r="O2047" i="1"/>
  <c r="O2047" i="1" a="1"/>
  <c r="N2047" i="1"/>
  <c r="M2047" i="1"/>
  <c r="O2046" i="1"/>
  <c r="O2046" i="1" a="1"/>
  <c r="N2046" i="1"/>
  <c r="M2046" i="1"/>
  <c r="O2045" i="1" a="1"/>
  <c r="O2045" i="1" s="1"/>
  <c r="N2045" i="1"/>
  <c r="M2045" i="1"/>
  <c r="O2044" i="1" a="1"/>
  <c r="O2044" i="1" s="1"/>
  <c r="N2044" i="1"/>
  <c r="M2044" i="1"/>
  <c r="O2043" i="1"/>
  <c r="O2043" i="1" a="1"/>
  <c r="N2043" i="1"/>
  <c r="M2043" i="1"/>
  <c r="O2042" i="1" a="1"/>
  <c r="O2042" i="1" s="1"/>
  <c r="N2042" i="1"/>
  <c r="M2042" i="1"/>
  <c r="O2041" i="1" a="1"/>
  <c r="O2041" i="1" s="1"/>
  <c r="N2041" i="1"/>
  <c r="M2041" i="1"/>
  <c r="O2040" i="1"/>
  <c r="O2040" i="1" a="1"/>
  <c r="N2040" i="1"/>
  <c r="M2040" i="1"/>
  <c r="O2039" i="1" a="1"/>
  <c r="O2039" i="1" s="1"/>
  <c r="N2039" i="1"/>
  <c r="M2039" i="1"/>
  <c r="O2038" i="1"/>
  <c r="O2038" i="1" a="1"/>
  <c r="N2038" i="1"/>
  <c r="M2038" i="1"/>
  <c r="O2037" i="1"/>
  <c r="O2037" i="1" a="1"/>
  <c r="N2037" i="1"/>
  <c r="M2037" i="1"/>
  <c r="O2036" i="1" a="1"/>
  <c r="O2036" i="1" s="1"/>
  <c r="N2036" i="1"/>
  <c r="M2036" i="1"/>
  <c r="O2035" i="1"/>
  <c r="O2035" i="1" a="1"/>
  <c r="N2035" i="1"/>
  <c r="M2035" i="1"/>
  <c r="O2034" i="1"/>
  <c r="O2034" i="1" a="1"/>
  <c r="N2034" i="1"/>
  <c r="M2034" i="1"/>
  <c r="O2033" i="1" a="1"/>
  <c r="O2033" i="1" s="1"/>
  <c r="N2033" i="1"/>
  <c r="M2033" i="1"/>
  <c r="O2032" i="1"/>
  <c r="O2032" i="1" a="1"/>
  <c r="N2032" i="1"/>
  <c r="M2032" i="1"/>
  <c r="O2031" i="1"/>
  <c r="O2031" i="1" a="1"/>
  <c r="N2031" i="1"/>
  <c r="M2031" i="1"/>
  <c r="O2030" i="1" a="1"/>
  <c r="O2030" i="1" s="1"/>
  <c r="N2030" i="1"/>
  <c r="M2030" i="1"/>
  <c r="O2029" i="1" a="1"/>
  <c r="O2029" i="1" s="1"/>
  <c r="N2029" i="1"/>
  <c r="M2029" i="1"/>
  <c r="O2028" i="1"/>
  <c r="O2028" i="1" a="1"/>
  <c r="N2028" i="1"/>
  <c r="M2028" i="1"/>
  <c r="O2027" i="1" a="1"/>
  <c r="O2027" i="1" s="1"/>
  <c r="N2027" i="1"/>
  <c r="M2027" i="1"/>
  <c r="O2026" i="1"/>
  <c r="O2026" i="1" a="1"/>
  <c r="N2026" i="1"/>
  <c r="M2026" i="1"/>
  <c r="O2025" i="1"/>
  <c r="O2025" i="1" a="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a="1"/>
  <c r="O2014" i="1" s="1"/>
  <c r="N2014" i="1"/>
  <c r="M2014" i="1"/>
  <c r="O2013" i="1" a="1"/>
  <c r="O2013" i="1" s="1"/>
  <c r="N2013" i="1"/>
  <c r="M2013" i="1"/>
  <c r="O2012" i="1" a="1"/>
  <c r="O2012" i="1" s="1"/>
  <c r="N2012" i="1"/>
  <c r="M2012" i="1"/>
  <c r="O2011" i="1" a="1"/>
  <c r="O2011" i="1" s="1"/>
  <c r="N2011" i="1"/>
  <c r="M2011" i="1"/>
  <c r="O2010" i="1" a="1"/>
  <c r="O2010" i="1" s="1"/>
  <c r="N2010" i="1"/>
  <c r="M2010" i="1"/>
  <c r="O2009" i="1"/>
  <c r="O2009" i="1" a="1"/>
  <c r="N2009" i="1"/>
  <c r="M2009" i="1"/>
  <c r="O2008" i="1"/>
  <c r="O2008" i="1" a="1"/>
  <c r="N2008" i="1"/>
  <c r="M2008" i="1"/>
  <c r="O2007" i="1" a="1"/>
  <c r="O2007" i="1" s="1"/>
  <c r="N2007" i="1"/>
  <c r="M2007" i="1"/>
  <c r="O2006" i="1"/>
  <c r="O2006" i="1" a="1"/>
  <c r="N2006" i="1"/>
  <c r="M2006" i="1"/>
  <c r="O2005" i="1"/>
  <c r="O2005" i="1" a="1"/>
  <c r="N2005" i="1"/>
  <c r="M2005" i="1"/>
  <c r="O2004" i="1" a="1"/>
  <c r="O2004" i="1" s="1"/>
  <c r="N2004" i="1"/>
  <c r="M2004" i="1"/>
  <c r="O2003" i="1" a="1"/>
  <c r="O2003" i="1" s="1"/>
  <c r="N2003" i="1"/>
  <c r="M2003" i="1"/>
  <c r="O2002" i="1" a="1"/>
  <c r="O2002" i="1" s="1"/>
  <c r="N2002" i="1"/>
  <c r="M2002" i="1"/>
  <c r="O2001" i="1" a="1"/>
  <c r="O2001" i="1" s="1"/>
  <c r="N2001" i="1"/>
  <c r="M2001" i="1"/>
  <c r="O2000" i="1"/>
  <c r="O2000" i="1" a="1"/>
  <c r="N2000" i="1"/>
  <c r="M2000" i="1"/>
  <c r="O1999" i="1" a="1"/>
  <c r="O1999" i="1" s="1"/>
  <c r="N1999" i="1"/>
  <c r="M1999" i="1"/>
  <c r="O1998" i="1" a="1"/>
  <c r="O1998" i="1" s="1"/>
  <c r="N1998" i="1"/>
  <c r="M1998" i="1"/>
  <c r="O1997" i="1" a="1"/>
  <c r="O1997" i="1" s="1"/>
  <c r="N1997" i="1"/>
  <c r="M1997" i="1"/>
  <c r="O1996" i="1"/>
  <c r="O1996" i="1" a="1"/>
  <c r="N1996" i="1"/>
  <c r="M1996" i="1"/>
  <c r="O1995" i="1" a="1"/>
  <c r="O1995" i="1" s="1"/>
  <c r="N1995" i="1"/>
  <c r="M1995" i="1"/>
  <c r="O1994" i="1"/>
  <c r="O1994" i="1" a="1"/>
  <c r="N1994" i="1"/>
  <c r="M1994" i="1"/>
  <c r="O1993" i="1" a="1"/>
  <c r="O1993" i="1" s="1"/>
  <c r="N1993" i="1"/>
  <c r="M1993" i="1"/>
  <c r="O1992" i="1" a="1"/>
  <c r="O1992" i="1" s="1"/>
  <c r="N1992" i="1"/>
  <c r="M1992" i="1"/>
  <c r="O1991" i="1" a="1"/>
  <c r="O1991" i="1" s="1"/>
  <c r="N1991" i="1"/>
  <c r="M1991" i="1"/>
  <c r="O1990" i="1" a="1"/>
  <c r="O1990" i="1" s="1"/>
  <c r="N1990" i="1"/>
  <c r="M1990" i="1"/>
  <c r="O1989" i="1" a="1"/>
  <c r="O1989" i="1" s="1"/>
  <c r="N1989" i="1"/>
  <c r="M1989" i="1"/>
  <c r="O1988" i="1" a="1"/>
  <c r="O1988" i="1" s="1"/>
  <c r="N1988" i="1"/>
  <c r="M1988" i="1"/>
  <c r="O1987" i="1"/>
  <c r="O1987" i="1" a="1"/>
  <c r="N1987" i="1"/>
  <c r="M1987" i="1"/>
  <c r="O1986" i="1" a="1"/>
  <c r="O1986" i="1" s="1"/>
  <c r="N1986" i="1"/>
  <c r="M1986" i="1"/>
  <c r="O1985" i="1"/>
  <c r="O1985" i="1" a="1"/>
  <c r="N1985" i="1"/>
  <c r="M1985" i="1"/>
  <c r="O1984" i="1" a="1"/>
  <c r="O1984" i="1" s="1"/>
  <c r="N1984" i="1"/>
  <c r="M1984" i="1"/>
  <c r="O1983" i="1" a="1"/>
  <c r="O1983" i="1" s="1"/>
  <c r="N1983" i="1"/>
  <c r="M1983" i="1"/>
  <c r="O1982" i="1"/>
  <c r="O1982" i="1" a="1"/>
  <c r="N1982" i="1"/>
  <c r="M1982" i="1"/>
  <c r="O1981" i="1" a="1"/>
  <c r="O1981" i="1" s="1"/>
  <c r="N1981" i="1"/>
  <c r="M1981" i="1"/>
  <c r="O1980" i="1" a="1"/>
  <c r="O1980" i="1" s="1"/>
  <c r="N1980" i="1"/>
  <c r="M1980" i="1"/>
  <c r="O1979" i="1"/>
  <c r="O1979" i="1" a="1"/>
  <c r="N1979" i="1"/>
  <c r="M1979" i="1"/>
  <c r="O1978" i="1"/>
  <c r="O1978" i="1" a="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a="1"/>
  <c r="O1971" i="1" s="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a="1"/>
  <c r="O1964" i="1" s="1"/>
  <c r="N1964" i="1"/>
  <c r="M1964" i="1"/>
  <c r="O1963" i="1" a="1"/>
  <c r="O1963" i="1" s="1"/>
  <c r="N1963" i="1"/>
  <c r="M1963" i="1"/>
  <c r="O1962" i="1" a="1"/>
  <c r="O1962" i="1" s="1"/>
  <c r="N1962" i="1"/>
  <c r="M1962" i="1"/>
  <c r="O1961" i="1"/>
  <c r="O1961" i="1" a="1"/>
  <c r="N1961" i="1"/>
  <c r="M1961" i="1"/>
  <c r="O1960" i="1"/>
  <c r="O1960" i="1" a="1"/>
  <c r="N1960" i="1"/>
  <c r="M1960" i="1"/>
  <c r="O1959" i="1" a="1"/>
  <c r="O1959" i="1" s="1"/>
  <c r="N1959" i="1"/>
  <c r="M1959" i="1"/>
  <c r="O1958" i="1" a="1"/>
  <c r="O1958" i="1" s="1"/>
  <c r="N1958" i="1"/>
  <c r="M1958" i="1"/>
  <c r="O1957" i="1" a="1"/>
  <c r="O1957" i="1" s="1"/>
  <c r="N1957" i="1"/>
  <c r="M1957" i="1"/>
  <c r="O1956" i="1" a="1"/>
  <c r="O1956" i="1" s="1"/>
  <c r="N1956" i="1"/>
  <c r="M1956" i="1"/>
  <c r="O1955" i="1" a="1"/>
  <c r="O1955" i="1" s="1"/>
  <c r="N1955" i="1"/>
  <c r="M1955" i="1"/>
  <c r="O1954" i="1" a="1"/>
  <c r="O1954" i="1" s="1"/>
  <c r="N1954" i="1"/>
  <c r="M1954" i="1"/>
  <c r="O1953" i="1" a="1"/>
  <c r="O1953" i="1" s="1"/>
  <c r="N1953" i="1"/>
  <c r="M1953" i="1"/>
  <c r="O1952" i="1" a="1"/>
  <c r="O1952" i="1" s="1"/>
  <c r="N1952" i="1"/>
  <c r="M1952" i="1"/>
  <c r="O1951" i="1"/>
  <c r="O1951" i="1" a="1"/>
  <c r="N1951" i="1"/>
  <c r="M1951" i="1"/>
  <c r="O1950" i="1" a="1"/>
  <c r="O1950" i="1" s="1"/>
  <c r="N1950" i="1"/>
  <c r="M1950" i="1"/>
  <c r="O1949" i="1"/>
  <c r="O1949" i="1" a="1"/>
  <c r="N1949" i="1"/>
  <c r="M1949" i="1"/>
  <c r="O1948" i="1"/>
  <c r="O1948" i="1" a="1"/>
  <c r="N1948" i="1"/>
  <c r="M1948" i="1"/>
  <c r="O1947" i="1" a="1"/>
  <c r="O1947" i="1" s="1"/>
  <c r="N1947" i="1"/>
  <c r="M1947" i="1"/>
  <c r="O1946" i="1"/>
  <c r="O1946" i="1" a="1"/>
  <c r="N1946" i="1"/>
  <c r="M1946" i="1"/>
  <c r="O1945" i="1" a="1"/>
  <c r="O1945" i="1" s="1"/>
  <c r="N1945" i="1"/>
  <c r="M1945" i="1"/>
  <c r="O1944" i="1" a="1"/>
  <c r="O1944" i="1" s="1"/>
  <c r="N1944" i="1"/>
  <c r="M1944" i="1"/>
  <c r="O1943" i="1"/>
  <c r="O1943" i="1" a="1"/>
  <c r="N1943" i="1"/>
  <c r="M1943" i="1"/>
  <c r="O1942" i="1"/>
  <c r="O1942" i="1" a="1"/>
  <c r="N1942" i="1"/>
  <c r="M1942" i="1"/>
  <c r="O1941" i="1" a="1"/>
  <c r="O1941" i="1" s="1"/>
  <c r="N1941" i="1"/>
  <c r="M1941" i="1"/>
  <c r="O1940" i="1" a="1"/>
  <c r="O1940" i="1" s="1"/>
  <c r="N1940" i="1"/>
  <c r="M1940" i="1"/>
  <c r="O1939" i="1" a="1"/>
  <c r="O1939" i="1" s="1"/>
  <c r="N1939" i="1"/>
  <c r="M1939" i="1"/>
  <c r="O1938" i="1" a="1"/>
  <c r="O1938" i="1" s="1"/>
  <c r="N1938" i="1"/>
  <c r="M1938" i="1"/>
  <c r="O1937" i="1"/>
  <c r="O1937" i="1" a="1"/>
  <c r="N1937" i="1"/>
  <c r="M1937" i="1"/>
  <c r="O1936" i="1"/>
  <c r="O1936" i="1" a="1"/>
  <c r="N1936" i="1"/>
  <c r="M1936" i="1"/>
  <c r="O1935" i="1" a="1"/>
  <c r="O1935" i="1" s="1"/>
  <c r="N1935" i="1"/>
  <c r="M1935" i="1"/>
  <c r="O1934" i="1"/>
  <c r="O1934" i="1" a="1"/>
  <c r="N1934" i="1"/>
  <c r="M1934" i="1"/>
  <c r="O1933" i="1"/>
  <c r="O1933" i="1" a="1"/>
  <c r="N1933" i="1"/>
  <c r="M1933" i="1"/>
  <c r="O1932" i="1" a="1"/>
  <c r="O1932" i="1" s="1"/>
  <c r="N1932" i="1"/>
  <c r="M1932" i="1"/>
  <c r="O1931" i="1" a="1"/>
  <c r="O1931" i="1" s="1"/>
  <c r="N1931" i="1"/>
  <c r="M1931" i="1"/>
  <c r="O1930" i="1" a="1"/>
  <c r="O1930" i="1" s="1"/>
  <c r="N1930" i="1"/>
  <c r="M1930" i="1"/>
  <c r="O1929" i="1" a="1"/>
  <c r="O1929" i="1" s="1"/>
  <c r="N1929" i="1"/>
  <c r="M1929" i="1"/>
  <c r="O1928" i="1" a="1"/>
  <c r="O1928" i="1" s="1"/>
  <c r="N1928" i="1"/>
  <c r="M1928" i="1"/>
  <c r="O1927" i="1" a="1"/>
  <c r="O1927" i="1" s="1"/>
  <c r="N1927" i="1"/>
  <c r="M1927" i="1"/>
  <c r="O1926" i="1" a="1"/>
  <c r="O1926" i="1" s="1"/>
  <c r="N1926" i="1"/>
  <c r="M1926" i="1"/>
  <c r="O1925" i="1"/>
  <c r="O1925" i="1" a="1"/>
  <c r="N1925" i="1"/>
  <c r="M1925" i="1"/>
  <c r="O1924" i="1"/>
  <c r="O1924" i="1" a="1"/>
  <c r="N1924" i="1"/>
  <c r="M1924" i="1"/>
  <c r="O1923" i="1" a="1"/>
  <c r="O1923" i="1" s="1"/>
  <c r="N1923" i="1"/>
  <c r="M1923" i="1"/>
  <c r="O1922" i="1" a="1"/>
  <c r="O1922" i="1" s="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a="1"/>
  <c r="O1914" i="1" s="1"/>
  <c r="N1914" i="1"/>
  <c r="M1914" i="1"/>
  <c r="O1913" i="1"/>
  <c r="O1913" i="1" a="1"/>
  <c r="N1913" i="1"/>
  <c r="M1913" i="1"/>
  <c r="O1912" i="1" a="1"/>
  <c r="O1912" i="1" s="1"/>
  <c r="N1912" i="1"/>
  <c r="M1912" i="1"/>
  <c r="O1911" i="1" a="1"/>
  <c r="O1911" i="1" s="1"/>
  <c r="N1911" i="1"/>
  <c r="M1911" i="1"/>
  <c r="O1910" i="1"/>
  <c r="O1910" i="1" a="1"/>
  <c r="N1910" i="1"/>
  <c r="M1910" i="1"/>
  <c r="O1909" i="1" a="1"/>
  <c r="O1909" i="1" s="1"/>
  <c r="N1909" i="1"/>
  <c r="M1909" i="1"/>
  <c r="O1908" i="1" a="1"/>
  <c r="O1908" i="1" s="1"/>
  <c r="N1908" i="1"/>
  <c r="M1908" i="1"/>
  <c r="O1907" i="1"/>
  <c r="O1907" i="1" a="1"/>
  <c r="N1907" i="1"/>
  <c r="M1907" i="1"/>
  <c r="O1906" i="1"/>
  <c r="O1906" i="1" a="1"/>
  <c r="N1906" i="1"/>
  <c r="M1906" i="1"/>
  <c r="O1905" i="1" a="1"/>
  <c r="O1905" i="1" s="1"/>
  <c r="N1905" i="1"/>
  <c r="M1905" i="1"/>
  <c r="O1904" i="1" a="1"/>
  <c r="O1904" i="1" s="1"/>
  <c r="N1904" i="1"/>
  <c r="M1904" i="1"/>
  <c r="O1903" i="1" a="1"/>
  <c r="O1903" i="1" s="1"/>
  <c r="N1903" i="1"/>
  <c r="M1903" i="1"/>
  <c r="O1902" i="1" a="1"/>
  <c r="O1902" i="1" s="1"/>
  <c r="N1902" i="1"/>
  <c r="M1902" i="1"/>
  <c r="O1901" i="1"/>
  <c r="O1901" i="1" a="1"/>
  <c r="N1901" i="1"/>
  <c r="M1901" i="1"/>
  <c r="O1900" i="1"/>
  <c r="O1900" i="1" a="1"/>
  <c r="N1900" i="1"/>
  <c r="M1900" i="1"/>
  <c r="O1899" i="1" a="1"/>
  <c r="O1899" i="1" s="1"/>
  <c r="N1899" i="1"/>
  <c r="M1899" i="1"/>
  <c r="O1898" i="1" a="1"/>
  <c r="O1898" i="1" s="1"/>
  <c r="N1898" i="1"/>
  <c r="M1898" i="1"/>
  <c r="O1897" i="1"/>
  <c r="O1897" i="1" a="1"/>
  <c r="N1897" i="1"/>
  <c r="M1897" i="1"/>
  <c r="O1896" i="1" a="1"/>
  <c r="O1896" i="1" s="1"/>
  <c r="N1896" i="1"/>
  <c r="M1896" i="1"/>
  <c r="O1895" i="1" a="1"/>
  <c r="O1895" i="1" s="1"/>
  <c r="N1895" i="1"/>
  <c r="M1895" i="1"/>
  <c r="O1894" i="1"/>
  <c r="O1894" i="1" a="1"/>
  <c r="N1894" i="1"/>
  <c r="M1894" i="1"/>
  <c r="O1893" i="1" a="1"/>
  <c r="O1893" i="1" s="1"/>
  <c r="N1893" i="1"/>
  <c r="M1893" i="1"/>
  <c r="O1892" i="1" a="1"/>
  <c r="O1892" i="1" s="1"/>
  <c r="N1892" i="1"/>
  <c r="M1892" i="1"/>
  <c r="O1891" i="1" a="1"/>
  <c r="O1891" i="1" s="1"/>
  <c r="N1891" i="1"/>
  <c r="M1891" i="1"/>
  <c r="O1890" i="1" a="1"/>
  <c r="O1890" i="1" s="1"/>
  <c r="N1890" i="1"/>
  <c r="M1890" i="1"/>
  <c r="O1889" i="1" a="1"/>
  <c r="O1889" i="1" s="1"/>
  <c r="N1889" i="1"/>
  <c r="M1889" i="1"/>
  <c r="O1888" i="1"/>
  <c r="O1888" i="1" a="1"/>
  <c r="N1888" i="1"/>
  <c r="M1888" i="1"/>
  <c r="O1887" i="1" a="1"/>
  <c r="O1887" i="1" s="1"/>
  <c r="N1887" i="1"/>
  <c r="M1887" i="1"/>
  <c r="O1886" i="1" a="1"/>
  <c r="O1886" i="1" s="1"/>
  <c r="N1886" i="1"/>
  <c r="M1886" i="1"/>
  <c r="O1885" i="1" a="1"/>
  <c r="O1885" i="1" s="1"/>
  <c r="N1885" i="1"/>
  <c r="M1885" i="1"/>
  <c r="O1884" i="1" a="1"/>
  <c r="O1884" i="1" s="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c r="O1876" i="1" a="1"/>
  <c r="N1876" i="1"/>
  <c r="M1876" i="1"/>
  <c r="O1875" i="1" a="1"/>
  <c r="O1875" i="1" s="1"/>
  <c r="N1875" i="1"/>
  <c r="M1875" i="1"/>
  <c r="O1874" i="1"/>
  <c r="O1874" i="1" a="1"/>
  <c r="N1874" i="1"/>
  <c r="M1874" i="1"/>
  <c r="O1873" i="1" a="1"/>
  <c r="O1873" i="1" s="1"/>
  <c r="N1873" i="1"/>
  <c r="M1873" i="1"/>
  <c r="O1872" i="1" a="1"/>
  <c r="O1872" i="1" s="1"/>
  <c r="N1872" i="1"/>
  <c r="M1872" i="1"/>
  <c r="O1871" i="1"/>
  <c r="O1871" i="1" a="1"/>
  <c r="N1871" i="1"/>
  <c r="M1871" i="1"/>
  <c r="O1870" i="1"/>
  <c r="O1870" i="1" a="1"/>
  <c r="N1870" i="1"/>
  <c r="M1870" i="1"/>
  <c r="O1869" i="1" a="1"/>
  <c r="O1869" i="1" s="1"/>
  <c r="N1869" i="1"/>
  <c r="M1869" i="1"/>
  <c r="O1868" i="1" a="1"/>
  <c r="O1868" i="1" s="1"/>
  <c r="N1868" i="1"/>
  <c r="M1868" i="1"/>
  <c r="O1867" i="1" a="1"/>
  <c r="O1867" i="1" s="1"/>
  <c r="N1867" i="1"/>
  <c r="M1867" i="1"/>
  <c r="O1866" i="1" a="1"/>
  <c r="O1866" i="1" s="1"/>
  <c r="N1866" i="1"/>
  <c r="M1866" i="1"/>
  <c r="O1865" i="1"/>
  <c r="O1865" i="1" a="1"/>
  <c r="N1865" i="1"/>
  <c r="M1865" i="1"/>
  <c r="O1864" i="1"/>
  <c r="O1864" i="1" a="1"/>
  <c r="N1864" i="1"/>
  <c r="M1864" i="1"/>
  <c r="O1863" i="1" a="1"/>
  <c r="O1863" i="1" s="1"/>
  <c r="N1863" i="1"/>
  <c r="M1863" i="1"/>
  <c r="O1862" i="1"/>
  <c r="O1862" i="1" a="1"/>
  <c r="N1862" i="1"/>
  <c r="M1862" i="1"/>
  <c r="O1861" i="1"/>
  <c r="O1861" i="1" a="1"/>
  <c r="N1861" i="1"/>
  <c r="M1861" i="1"/>
  <c r="O1860" i="1" a="1"/>
  <c r="O1860" i="1" s="1"/>
  <c r="N1860" i="1"/>
  <c r="M1860" i="1"/>
  <c r="O1859" i="1" a="1"/>
  <c r="O1859" i="1" s="1"/>
  <c r="N1859" i="1"/>
  <c r="M1859" i="1"/>
  <c r="O1858" i="1" a="1"/>
  <c r="O1858" i="1" s="1"/>
  <c r="N1858" i="1"/>
  <c r="M1858" i="1"/>
  <c r="O1857" i="1" a="1"/>
  <c r="O1857" i="1" s="1"/>
  <c r="N1857" i="1"/>
  <c r="M1857" i="1"/>
  <c r="O1856" i="1" a="1"/>
  <c r="O1856" i="1" s="1"/>
  <c r="N1856" i="1"/>
  <c r="M1856" i="1"/>
  <c r="O1855" i="1" a="1"/>
  <c r="O1855" i="1" s="1"/>
  <c r="N1855" i="1"/>
  <c r="M1855" i="1"/>
  <c r="O1854" i="1" a="1"/>
  <c r="O1854" i="1" s="1"/>
  <c r="N1854" i="1"/>
  <c r="M1854" i="1"/>
  <c r="O1853" i="1"/>
  <c r="O1853" i="1" a="1"/>
  <c r="N1853" i="1"/>
  <c r="M1853" i="1"/>
  <c r="O1852" i="1"/>
  <c r="O1852" i="1" a="1"/>
  <c r="N1852" i="1"/>
  <c r="M1852" i="1"/>
  <c r="O1851" i="1" a="1"/>
  <c r="O1851" i="1" s="1"/>
  <c r="N1851" i="1"/>
  <c r="M1851" i="1"/>
  <c r="O1850" i="1"/>
  <c r="O1850" i="1" a="1"/>
  <c r="N1850" i="1"/>
  <c r="M1850" i="1"/>
  <c r="O1849" i="1" a="1"/>
  <c r="O1849" i="1" s="1"/>
  <c r="N1849" i="1"/>
  <c r="M1849" i="1"/>
  <c r="O1848" i="1" a="1"/>
  <c r="O1848" i="1" s="1"/>
  <c r="N1848" i="1"/>
  <c r="M1848" i="1"/>
  <c r="O1847" i="1" a="1"/>
  <c r="O1847" i="1" s="1"/>
  <c r="N1847" i="1"/>
  <c r="M1847" i="1"/>
  <c r="O1846" i="1" a="1"/>
  <c r="O1846" i="1" s="1"/>
  <c r="N1846" i="1"/>
  <c r="M1846" i="1"/>
  <c r="O1845" i="1" a="1"/>
  <c r="O1845" i="1" s="1"/>
  <c r="N1845" i="1"/>
  <c r="M1845" i="1"/>
  <c r="O1844" i="1" a="1"/>
  <c r="O1844" i="1" s="1"/>
  <c r="N1844" i="1"/>
  <c r="M1844" i="1"/>
  <c r="O1843" i="1"/>
  <c r="O1843" i="1" a="1"/>
  <c r="N1843" i="1"/>
  <c r="M1843" i="1"/>
  <c r="O1842" i="1" a="1"/>
  <c r="O1842" i="1" s="1"/>
  <c r="N1842" i="1"/>
  <c r="M1842" i="1"/>
  <c r="O1841" i="1"/>
  <c r="O1841" i="1" a="1"/>
  <c r="N1841" i="1"/>
  <c r="M1841" i="1"/>
  <c r="O1840" i="1" a="1"/>
  <c r="O1840" i="1" s="1"/>
  <c r="N1840" i="1"/>
  <c r="M1840" i="1"/>
  <c r="O1839" i="1" a="1"/>
  <c r="O1839" i="1" s="1"/>
  <c r="N1839" i="1"/>
  <c r="M1839" i="1"/>
  <c r="O1838" i="1"/>
  <c r="O1838" i="1" a="1"/>
  <c r="N1838" i="1"/>
  <c r="M1838" i="1"/>
  <c r="O1837" i="1" a="1"/>
  <c r="O1837" i="1" s="1"/>
  <c r="N1837" i="1"/>
  <c r="M1837" i="1"/>
  <c r="O1836" i="1" a="1"/>
  <c r="O1836" i="1" s="1"/>
  <c r="N1836" i="1"/>
  <c r="M1836" i="1"/>
  <c r="O1835" i="1"/>
  <c r="O1835" i="1" a="1"/>
  <c r="N1835" i="1"/>
  <c r="M1835" i="1"/>
  <c r="O1834" i="1"/>
  <c r="O1834" i="1" a="1"/>
  <c r="N1834" i="1"/>
  <c r="M1834" i="1"/>
  <c r="O1833" i="1" a="1"/>
  <c r="O1833" i="1" s="1"/>
  <c r="N1833" i="1"/>
  <c r="M1833" i="1"/>
  <c r="O1832" i="1" a="1"/>
  <c r="O1832" i="1" s="1"/>
  <c r="N1832" i="1"/>
  <c r="M1832" i="1"/>
  <c r="O1831" i="1" a="1"/>
  <c r="O1831" i="1" s="1"/>
  <c r="N1831" i="1"/>
  <c r="M1831" i="1"/>
  <c r="O1830" i="1" a="1"/>
  <c r="O1830" i="1" s="1"/>
  <c r="N1830" i="1"/>
  <c r="M1830" i="1"/>
  <c r="O1829" i="1"/>
  <c r="O1829" i="1" a="1"/>
  <c r="N1829" i="1"/>
  <c r="M1829" i="1"/>
  <c r="O1828" i="1"/>
  <c r="O1828" i="1" a="1"/>
  <c r="N1828" i="1"/>
  <c r="M1828" i="1"/>
  <c r="O1827" i="1" a="1"/>
  <c r="O1827" i="1" s="1"/>
  <c r="N1827" i="1"/>
  <c r="M1827" i="1"/>
  <c r="O1826" i="1"/>
  <c r="O1826" i="1" a="1"/>
  <c r="N1826" i="1"/>
  <c r="M1826" i="1"/>
  <c r="O1825" i="1"/>
  <c r="O1825" i="1" a="1"/>
  <c r="N1825" i="1"/>
  <c r="M1825" i="1"/>
  <c r="O1824" i="1" a="1"/>
  <c r="O1824" i="1" s="1"/>
  <c r="N1824" i="1"/>
  <c r="M1824" i="1"/>
  <c r="O1823" i="1" a="1"/>
  <c r="O1823" i="1" s="1"/>
  <c r="N1823" i="1"/>
  <c r="M1823" i="1"/>
  <c r="O1822" i="1"/>
  <c r="O1822" i="1" a="1"/>
  <c r="N1822" i="1"/>
  <c r="M1822" i="1"/>
  <c r="O1821" i="1" a="1"/>
  <c r="O1821" i="1" s="1"/>
  <c r="N1821" i="1"/>
  <c r="M1821" i="1"/>
  <c r="O1820" i="1" a="1"/>
  <c r="O1820" i="1" s="1"/>
  <c r="N1820" i="1"/>
  <c r="M1820" i="1"/>
  <c r="O1819" i="1" a="1"/>
  <c r="O1819" i="1" s="1"/>
  <c r="N1819" i="1"/>
  <c r="M1819" i="1"/>
  <c r="O1818" i="1" a="1"/>
  <c r="O1818" i="1" s="1"/>
  <c r="N1818" i="1"/>
  <c r="M1818" i="1"/>
  <c r="O1817" i="1" a="1"/>
  <c r="O1817" i="1" s="1"/>
  <c r="N1817" i="1"/>
  <c r="M1817" i="1"/>
  <c r="O1816" i="1"/>
  <c r="O1816" i="1" a="1"/>
  <c r="N1816" i="1"/>
  <c r="M1816" i="1"/>
  <c r="O1815" i="1" a="1"/>
  <c r="O1815" i="1" s="1"/>
  <c r="N1815" i="1"/>
  <c r="M1815" i="1"/>
  <c r="O1814" i="1" a="1"/>
  <c r="O1814" i="1" s="1"/>
  <c r="N1814" i="1"/>
  <c r="M1814" i="1"/>
  <c r="O1813" i="1" a="1"/>
  <c r="O1813" i="1" s="1"/>
  <c r="N1813" i="1"/>
  <c r="M1813" i="1"/>
  <c r="O1812" i="1" a="1"/>
  <c r="O1812" i="1" s="1"/>
  <c r="N1812" i="1"/>
  <c r="M1812" i="1"/>
  <c r="O1811" i="1"/>
  <c r="O1811" i="1" a="1"/>
  <c r="N1811" i="1"/>
  <c r="M1811" i="1"/>
  <c r="O1810" i="1" a="1"/>
  <c r="O1810" i="1" s="1"/>
  <c r="N1810" i="1"/>
  <c r="M1810" i="1"/>
  <c r="O1809" i="1" a="1"/>
  <c r="O1809" i="1" s="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a="1"/>
  <c r="O1803" i="1" s="1"/>
  <c r="N1803" i="1"/>
  <c r="M1803" i="1"/>
  <c r="O1802" i="1" a="1"/>
  <c r="O1802" i="1" s="1"/>
  <c r="N1802" i="1"/>
  <c r="M1802" i="1"/>
  <c r="O1801" i="1" a="1"/>
  <c r="O1801" i="1" s="1"/>
  <c r="N1801" i="1"/>
  <c r="M1801" i="1"/>
  <c r="O1800" i="1" a="1"/>
  <c r="O1800" i="1" s="1"/>
  <c r="N1800" i="1"/>
  <c r="M1800" i="1"/>
  <c r="O1799" i="1" a="1"/>
  <c r="O1799" i="1" s="1"/>
  <c r="N1799" i="1"/>
  <c r="M1799" i="1"/>
  <c r="O1798" i="1" a="1"/>
  <c r="O1798" i="1" s="1"/>
  <c r="N1798" i="1"/>
  <c r="M1798" i="1"/>
  <c r="O1797" i="1"/>
  <c r="O1797" i="1" a="1"/>
  <c r="N1797" i="1"/>
  <c r="M1797" i="1"/>
  <c r="O1796" i="1" a="1"/>
  <c r="O1796" i="1" s="1"/>
  <c r="N1796" i="1"/>
  <c r="M1796" i="1"/>
  <c r="O1795" i="1" a="1"/>
  <c r="O1795" i="1" s="1"/>
  <c r="N1795" i="1"/>
  <c r="M1795" i="1"/>
  <c r="O1794" i="1"/>
  <c r="O1794" i="1" a="1"/>
  <c r="N1794" i="1"/>
  <c r="M1794" i="1"/>
  <c r="O1793" i="1" a="1"/>
  <c r="O1793" i="1" s="1"/>
  <c r="N1793" i="1"/>
  <c r="M1793" i="1"/>
  <c r="O1792" i="1" a="1"/>
  <c r="O1792" i="1" s="1"/>
  <c r="N1792" i="1"/>
  <c r="M1792" i="1"/>
  <c r="O1791" i="1" a="1"/>
  <c r="O1791" i="1" s="1"/>
  <c r="N1791" i="1"/>
  <c r="M1791" i="1"/>
  <c r="O1790" i="1" a="1"/>
  <c r="O1790" i="1" s="1"/>
  <c r="N1790" i="1"/>
  <c r="M1790" i="1"/>
  <c r="O1789" i="1" a="1"/>
  <c r="O1789" i="1" s="1"/>
  <c r="N1789" i="1"/>
  <c r="M1789" i="1"/>
  <c r="O1788" i="1" a="1"/>
  <c r="O1788" i="1" s="1"/>
  <c r="N1788" i="1"/>
  <c r="M1788" i="1"/>
  <c r="O1787" i="1" a="1"/>
  <c r="O1787" i="1" s="1"/>
  <c r="N1787" i="1"/>
  <c r="M1787" i="1"/>
  <c r="O1786" i="1"/>
  <c r="O1786" i="1" a="1"/>
  <c r="N1786" i="1"/>
  <c r="M1786" i="1"/>
  <c r="O1785" i="1" a="1"/>
  <c r="O1785" i="1" s="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c r="O1779" i="1" a="1"/>
  <c r="N1779" i="1"/>
  <c r="M1779" i="1"/>
  <c r="O1778" i="1" a="1"/>
  <c r="O1778" i="1" s="1"/>
  <c r="N1778" i="1"/>
  <c r="M1778" i="1"/>
  <c r="O1777" i="1" a="1"/>
  <c r="O1777" i="1" s="1"/>
  <c r="N1777" i="1"/>
  <c r="M1777" i="1"/>
  <c r="O1776" i="1" a="1"/>
  <c r="O1776" i="1" s="1"/>
  <c r="N1776" i="1"/>
  <c r="M1776" i="1"/>
  <c r="O1775" i="1" a="1"/>
  <c r="O1775" i="1" s="1"/>
  <c r="N1775" i="1"/>
  <c r="M1775" i="1"/>
  <c r="O1774" i="1"/>
  <c r="O1774" i="1" a="1"/>
  <c r="N1774" i="1"/>
  <c r="M1774" i="1"/>
  <c r="O1773" i="1"/>
  <c r="O1773" i="1" a="1"/>
  <c r="N1773" i="1"/>
  <c r="M1773" i="1"/>
  <c r="O1772" i="1" a="1"/>
  <c r="O1772" i="1" s="1"/>
  <c r="N1772" i="1"/>
  <c r="M1772" i="1"/>
  <c r="O1771" i="1" a="1"/>
  <c r="O1771" i="1" s="1"/>
  <c r="N1771" i="1"/>
  <c r="M1771" i="1"/>
  <c r="O1770" i="1"/>
  <c r="O1770" i="1" a="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a="1"/>
  <c r="O1764" i="1" s="1"/>
  <c r="N1764" i="1"/>
  <c r="M1764" i="1"/>
  <c r="O1763" i="1" a="1"/>
  <c r="O1763" i="1" s="1"/>
  <c r="N1763" i="1"/>
  <c r="M1763" i="1"/>
  <c r="O1762" i="1" a="1"/>
  <c r="O1762" i="1" s="1"/>
  <c r="N1762" i="1"/>
  <c r="M1762" i="1"/>
  <c r="O1761" i="1"/>
  <c r="O1761" i="1" a="1"/>
  <c r="N1761" i="1"/>
  <c r="M1761" i="1"/>
  <c r="O1760" i="1" a="1"/>
  <c r="O1760" i="1" s="1"/>
  <c r="N1760" i="1"/>
  <c r="M1760" i="1"/>
  <c r="O1759" i="1" a="1"/>
  <c r="O1759" i="1" s="1"/>
  <c r="N1759" i="1"/>
  <c r="M1759" i="1"/>
  <c r="O1758" i="1"/>
  <c r="O1758" i="1" a="1"/>
  <c r="N1758" i="1"/>
  <c r="M1758" i="1"/>
  <c r="O1757" i="1" a="1"/>
  <c r="O1757" i="1" s="1"/>
  <c r="N1757" i="1"/>
  <c r="M1757" i="1"/>
  <c r="O1756" i="1"/>
  <c r="O1756" i="1" a="1"/>
  <c r="N1756" i="1"/>
  <c r="M1756" i="1"/>
  <c r="O1755" i="1" a="1"/>
  <c r="O1755" i="1" s="1"/>
  <c r="N1755" i="1"/>
  <c r="M1755" i="1"/>
  <c r="O1754" i="1" a="1"/>
  <c r="O1754" i="1" s="1"/>
  <c r="N1754" i="1"/>
  <c r="M1754" i="1"/>
  <c r="O1753" i="1" a="1"/>
  <c r="O1753" i="1" s="1"/>
  <c r="N1753" i="1"/>
  <c r="M1753" i="1"/>
  <c r="O1752" i="1" a="1"/>
  <c r="O1752" i="1" s="1"/>
  <c r="N1752" i="1"/>
  <c r="M1752" i="1"/>
  <c r="O1751" i="1" a="1"/>
  <c r="O1751" i="1" s="1"/>
  <c r="N1751" i="1"/>
  <c r="M1751" i="1"/>
  <c r="O1750" i="1"/>
  <c r="O1750" i="1" a="1"/>
  <c r="N1750" i="1"/>
  <c r="M1750" i="1"/>
  <c r="O1749" i="1" a="1"/>
  <c r="O1749" i="1" s="1"/>
  <c r="N1749" i="1"/>
  <c r="M1749" i="1"/>
  <c r="O1748" i="1"/>
  <c r="O1748" i="1" a="1"/>
  <c r="N1748" i="1"/>
  <c r="M1748" i="1"/>
  <c r="O1747" i="1"/>
  <c r="O1747" i="1" a="1"/>
  <c r="N1747" i="1"/>
  <c r="M1747" i="1"/>
  <c r="O1746" i="1" a="1"/>
  <c r="O1746" i="1" s="1"/>
  <c r="N1746" i="1"/>
  <c r="M1746" i="1"/>
  <c r="O1745" i="1"/>
  <c r="O1745" i="1" a="1"/>
  <c r="N1745" i="1"/>
  <c r="M1745" i="1"/>
  <c r="O1744" i="1"/>
  <c r="O1744" i="1" a="1"/>
  <c r="N1744" i="1"/>
  <c r="M1744" i="1"/>
  <c r="O1743" i="1" a="1"/>
  <c r="O1743" i="1" s="1"/>
  <c r="N1743" i="1"/>
  <c r="M1743" i="1"/>
  <c r="O1742" i="1"/>
  <c r="O1742" i="1" a="1"/>
  <c r="N1742" i="1"/>
  <c r="M1742" i="1"/>
  <c r="O1741" i="1" a="1"/>
  <c r="O1741" i="1" s="1"/>
  <c r="N1741" i="1"/>
  <c r="M1741" i="1"/>
  <c r="O1740" i="1"/>
  <c r="O1740" i="1" a="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c r="O1733" i="1" a="1"/>
  <c r="N1733" i="1"/>
  <c r="M1733" i="1"/>
  <c r="O1732" i="1" a="1"/>
  <c r="O1732" i="1" s="1"/>
  <c r="N1732" i="1"/>
  <c r="M1732" i="1"/>
  <c r="O1731" i="1"/>
  <c r="O1731" i="1" a="1"/>
  <c r="N1731" i="1"/>
  <c r="M1731" i="1"/>
  <c r="O1730" i="1"/>
  <c r="O1730" i="1" a="1"/>
  <c r="N1730" i="1"/>
  <c r="M1730" i="1"/>
  <c r="O1729" i="1" a="1"/>
  <c r="O1729" i="1" s="1"/>
  <c r="N1729" i="1"/>
  <c r="M1729" i="1"/>
  <c r="O1728" i="1" a="1"/>
  <c r="O1728" i="1" s="1"/>
  <c r="N1728" i="1"/>
  <c r="M1728" i="1"/>
  <c r="O1727" i="1"/>
  <c r="O1727" i="1" a="1"/>
  <c r="N1727" i="1"/>
  <c r="M1727" i="1"/>
  <c r="O1726" i="1" a="1"/>
  <c r="O1726" i="1" s="1"/>
  <c r="N1726" i="1"/>
  <c r="M1726" i="1"/>
  <c r="O1725" i="1" a="1"/>
  <c r="O1725" i="1" s="1"/>
  <c r="N1725" i="1"/>
  <c r="M1725" i="1"/>
  <c r="O1724" i="1"/>
  <c r="O1724" i="1" a="1"/>
  <c r="N1724" i="1"/>
  <c r="M1724" i="1"/>
  <c r="O1723" i="1" a="1"/>
  <c r="O1723" i="1" s="1"/>
  <c r="N1723" i="1"/>
  <c r="M1723" i="1"/>
  <c r="O1722" i="1" a="1"/>
  <c r="O1722" i="1" s="1"/>
  <c r="N1722" i="1"/>
  <c r="M1722" i="1"/>
  <c r="O1721" i="1"/>
  <c r="O1721" i="1" a="1"/>
  <c r="N1721" i="1"/>
  <c r="M1721" i="1"/>
  <c r="O1720" i="1" a="1"/>
  <c r="O1720" i="1" s="1"/>
  <c r="N1720" i="1"/>
  <c r="M1720" i="1"/>
  <c r="O1719" i="1" a="1"/>
  <c r="O1719" i="1" s="1"/>
  <c r="N1719" i="1"/>
  <c r="M1719" i="1"/>
  <c r="O1718" i="1"/>
  <c r="O1718" i="1" a="1"/>
  <c r="N1718" i="1"/>
  <c r="M1718" i="1"/>
  <c r="O1717" i="1" a="1"/>
  <c r="O1717" i="1" s="1"/>
  <c r="N1717" i="1"/>
  <c r="M1717" i="1"/>
  <c r="O1716" i="1"/>
  <c r="O1716" i="1" a="1"/>
  <c r="N1716" i="1"/>
  <c r="M1716" i="1"/>
  <c r="O1715" i="1"/>
  <c r="O1715" i="1" a="1"/>
  <c r="N1715" i="1"/>
  <c r="M1715" i="1"/>
  <c r="O1714" i="1" a="1"/>
  <c r="O1714" i="1" s="1"/>
  <c r="N1714" i="1"/>
  <c r="M1714" i="1"/>
  <c r="O1713" i="1"/>
  <c r="O1713" i="1" a="1"/>
  <c r="N1713" i="1"/>
  <c r="M1713" i="1"/>
  <c r="O1712" i="1"/>
  <c r="O1712" i="1" a="1"/>
  <c r="N1712" i="1"/>
  <c r="M1712" i="1"/>
  <c r="O1711" i="1" a="1"/>
  <c r="O1711" i="1" s="1"/>
  <c r="N1711" i="1"/>
  <c r="M1711" i="1"/>
  <c r="O1710" i="1" a="1"/>
  <c r="O1710" i="1" s="1"/>
  <c r="N1710" i="1"/>
  <c r="M1710" i="1"/>
  <c r="O1709" i="1"/>
  <c r="O1709" i="1" a="1"/>
  <c r="N1709" i="1"/>
  <c r="M1709" i="1"/>
  <c r="O1708" i="1" a="1"/>
  <c r="O1708" i="1" s="1"/>
  <c r="N1708" i="1"/>
  <c r="M1708" i="1"/>
  <c r="O1707" i="1" a="1"/>
  <c r="O1707" i="1" s="1"/>
  <c r="N1707" i="1"/>
  <c r="M1707" i="1"/>
  <c r="O1706" i="1"/>
  <c r="O1706" i="1" a="1"/>
  <c r="N1706" i="1"/>
  <c r="M1706" i="1"/>
  <c r="O1705" i="1" a="1"/>
  <c r="O1705" i="1" s="1"/>
  <c r="N1705" i="1"/>
  <c r="M1705" i="1"/>
  <c r="O1704" i="1"/>
  <c r="O1704" i="1" a="1"/>
  <c r="N1704" i="1"/>
  <c r="M1704" i="1"/>
  <c r="O1703" i="1"/>
  <c r="O1703" i="1" a="1"/>
  <c r="N1703" i="1"/>
  <c r="M1703" i="1"/>
  <c r="O1702" i="1" a="1"/>
  <c r="O1702" i="1" s="1"/>
  <c r="N1702" i="1"/>
  <c r="M1702" i="1"/>
  <c r="O1701" i="1" a="1"/>
  <c r="O1701" i="1" s="1"/>
  <c r="N1701" i="1"/>
  <c r="M1701" i="1"/>
  <c r="O1700" i="1"/>
  <c r="O1700" i="1" a="1"/>
  <c r="N1700" i="1"/>
  <c r="M1700" i="1"/>
  <c r="O1699" i="1" a="1"/>
  <c r="O1699" i="1" s="1"/>
  <c r="N1699" i="1"/>
  <c r="M1699" i="1"/>
  <c r="O1698" i="1" a="1"/>
  <c r="O1698" i="1" s="1"/>
  <c r="N1698" i="1"/>
  <c r="M1698" i="1"/>
  <c r="O1697" i="1"/>
  <c r="O1697" i="1" a="1"/>
  <c r="N1697" i="1"/>
  <c r="M1697" i="1"/>
  <c r="O1696" i="1" a="1"/>
  <c r="O1696" i="1" s="1"/>
  <c r="N1696" i="1"/>
  <c r="M1696" i="1"/>
  <c r="O1695" i="1"/>
  <c r="O1695" i="1" a="1"/>
  <c r="N1695" i="1"/>
  <c r="M1695" i="1"/>
  <c r="O1694" i="1"/>
  <c r="O1694" i="1" a="1"/>
  <c r="N1694" i="1"/>
  <c r="M1694" i="1"/>
  <c r="O1693" i="1" a="1"/>
  <c r="O1693" i="1" s="1"/>
  <c r="N1693" i="1"/>
  <c r="M1693" i="1"/>
  <c r="O1692" i="1" a="1"/>
  <c r="O1692" i="1" s="1"/>
  <c r="N1692" i="1"/>
  <c r="M1692" i="1"/>
  <c r="O1691" i="1"/>
  <c r="O1691" i="1" a="1"/>
  <c r="N1691" i="1"/>
  <c r="M1691" i="1"/>
  <c r="O1690" i="1" a="1"/>
  <c r="O1690" i="1" s="1"/>
  <c r="N1690" i="1"/>
  <c r="M1690" i="1"/>
  <c r="O1689" i="1"/>
  <c r="O1689" i="1" a="1"/>
  <c r="N1689" i="1"/>
  <c r="M1689" i="1"/>
  <c r="O1688" i="1"/>
  <c r="O1688" i="1" a="1"/>
  <c r="N1688" i="1"/>
  <c r="M1688" i="1"/>
  <c r="O1687" i="1" a="1"/>
  <c r="O1687" i="1" s="1"/>
  <c r="N1687" i="1"/>
  <c r="M1687" i="1"/>
  <c r="O1686" i="1" a="1"/>
  <c r="O1686" i="1" s="1"/>
  <c r="N1686" i="1"/>
  <c r="M1686" i="1"/>
  <c r="O1685" i="1"/>
  <c r="O1685" i="1" a="1"/>
  <c r="N1685" i="1"/>
  <c r="M1685" i="1"/>
  <c r="O1684" i="1" a="1"/>
  <c r="O1684" i="1" s="1"/>
  <c r="N1684" i="1"/>
  <c r="M1684" i="1"/>
  <c r="O1683" i="1" a="1"/>
  <c r="O1683" i="1" s="1"/>
  <c r="N1683" i="1"/>
  <c r="M1683" i="1"/>
  <c r="O1682" i="1"/>
  <c r="O1682" i="1" a="1"/>
  <c r="N1682" i="1"/>
  <c r="M1682" i="1"/>
  <c r="O1681" i="1" a="1"/>
  <c r="O1681" i="1" s="1"/>
  <c r="N1681" i="1"/>
  <c r="M1681" i="1"/>
  <c r="O1680" i="1" a="1"/>
  <c r="O1680" i="1" s="1"/>
  <c r="N1680" i="1"/>
  <c r="M1680" i="1"/>
  <c r="O1679" i="1"/>
  <c r="O1679" i="1" a="1"/>
  <c r="N1679" i="1"/>
  <c r="M1679" i="1"/>
  <c r="O1678" i="1" a="1"/>
  <c r="O1678" i="1" s="1"/>
  <c r="N1678" i="1"/>
  <c r="M1678" i="1"/>
  <c r="O1677" i="1"/>
  <c r="O1677" i="1" a="1"/>
  <c r="N1677" i="1"/>
  <c r="M1677" i="1"/>
  <c r="O1676" i="1"/>
  <c r="O1676" i="1" a="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a="1"/>
  <c r="O1666" i="1" s="1"/>
  <c r="N1666" i="1"/>
  <c r="M1666" i="1"/>
  <c r="O1665" i="1" a="1"/>
  <c r="O1665" i="1" s="1"/>
  <c r="N1665" i="1"/>
  <c r="M1665" i="1"/>
  <c r="O1664" i="1"/>
  <c r="O1664" i="1" a="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c r="O1658" i="1" a="1"/>
  <c r="N1658" i="1"/>
  <c r="M1658" i="1"/>
  <c r="O1657" i="1" a="1"/>
  <c r="O1657" i="1" s="1"/>
  <c r="N1657" i="1"/>
  <c r="M1657" i="1"/>
  <c r="O1656" i="1" a="1"/>
  <c r="O1656" i="1" s="1"/>
  <c r="N1656" i="1"/>
  <c r="M1656" i="1"/>
  <c r="O1655" i="1"/>
  <c r="O1655" i="1" a="1"/>
  <c r="N1655" i="1"/>
  <c r="M1655" i="1"/>
  <c r="O1654" i="1" a="1"/>
  <c r="O1654" i="1" s="1"/>
  <c r="N1654" i="1"/>
  <c r="M1654" i="1"/>
  <c r="O1653" i="1"/>
  <c r="O1653" i="1" a="1"/>
  <c r="N1653" i="1"/>
  <c r="M1653" i="1"/>
  <c r="O1652" i="1"/>
  <c r="O1652" i="1" a="1"/>
  <c r="N1652" i="1"/>
  <c r="M1652" i="1"/>
  <c r="O1651" i="1" a="1"/>
  <c r="O1651" i="1" s="1"/>
  <c r="N1651" i="1"/>
  <c r="M1651" i="1"/>
  <c r="O1650" i="1" a="1"/>
  <c r="O1650" i="1" s="1"/>
  <c r="N1650" i="1"/>
  <c r="M1650" i="1"/>
  <c r="O1649" i="1"/>
  <c r="O1649" i="1" a="1"/>
  <c r="N1649" i="1"/>
  <c r="M1649" i="1"/>
  <c r="O1648" i="1" a="1"/>
  <c r="O1648" i="1" s="1"/>
  <c r="N1648" i="1"/>
  <c r="M1648" i="1"/>
  <c r="O1647" i="1" a="1"/>
  <c r="O1647" i="1" s="1"/>
  <c r="N1647" i="1"/>
  <c r="M1647" i="1"/>
  <c r="O1646" i="1"/>
  <c r="O1646" i="1" a="1"/>
  <c r="N1646" i="1"/>
  <c r="M1646" i="1"/>
  <c r="O1645" i="1" a="1"/>
  <c r="O1645" i="1" s="1"/>
  <c r="N1645" i="1"/>
  <c r="M1645" i="1"/>
  <c r="O1644" i="1" a="1"/>
  <c r="O1644" i="1" s="1"/>
  <c r="N1644" i="1"/>
  <c r="M1644" i="1"/>
  <c r="O1643" i="1"/>
  <c r="O1643" i="1" a="1"/>
  <c r="N1643" i="1"/>
  <c r="M1643" i="1"/>
  <c r="O1642" i="1" a="1"/>
  <c r="O1642" i="1" s="1"/>
  <c r="N1642" i="1"/>
  <c r="M1642" i="1"/>
  <c r="O1641" i="1" a="1"/>
  <c r="O1641" i="1" s="1"/>
  <c r="N1641" i="1"/>
  <c r="M1641" i="1"/>
  <c r="O1640" i="1"/>
  <c r="O1640" i="1" a="1"/>
  <c r="N1640" i="1"/>
  <c r="M1640" i="1"/>
  <c r="O1639" i="1" a="1"/>
  <c r="O1639" i="1" s="1"/>
  <c r="N1639" i="1"/>
  <c r="M1639" i="1"/>
  <c r="O1638" i="1" a="1"/>
  <c r="O1638" i="1" s="1"/>
  <c r="N1638" i="1"/>
  <c r="M1638" i="1"/>
  <c r="O1637" i="1"/>
  <c r="O1637" i="1" a="1"/>
  <c r="N1637" i="1"/>
  <c r="M1637" i="1"/>
  <c r="O1636" i="1" a="1"/>
  <c r="O1636" i="1" s="1"/>
  <c r="N1636" i="1"/>
  <c r="M1636" i="1"/>
  <c r="O1635" i="1" a="1"/>
  <c r="O1635" i="1" s="1"/>
  <c r="N1635" i="1"/>
  <c r="M1635" i="1"/>
  <c r="O1634" i="1"/>
  <c r="O1634" i="1" a="1"/>
  <c r="N1634" i="1"/>
  <c r="M1634" i="1"/>
  <c r="O1633" i="1" a="1"/>
  <c r="O1633" i="1" s="1"/>
  <c r="N1633" i="1"/>
  <c r="M1633" i="1"/>
  <c r="O1632" i="1"/>
  <c r="O1632" i="1" a="1"/>
  <c r="N1632" i="1"/>
  <c r="M1632" i="1"/>
  <c r="O1631" i="1"/>
  <c r="O1631" i="1" a="1"/>
  <c r="N1631" i="1"/>
  <c r="M1631" i="1"/>
  <c r="O1630" i="1" a="1"/>
  <c r="O1630" i="1" s="1"/>
  <c r="N1630" i="1"/>
  <c r="M1630" i="1"/>
  <c r="O1629" i="1" a="1"/>
  <c r="O1629" i="1" s="1"/>
  <c r="N1629" i="1"/>
  <c r="M1629" i="1"/>
  <c r="O1628" i="1"/>
  <c r="O1628" i="1" a="1"/>
  <c r="N1628" i="1"/>
  <c r="M1628" i="1"/>
  <c r="O1627" i="1" a="1"/>
  <c r="O1627" i="1" s="1"/>
  <c r="N1627" i="1"/>
  <c r="M1627" i="1"/>
  <c r="O1626" i="1" a="1"/>
  <c r="O1626" i="1" s="1"/>
  <c r="N1626" i="1"/>
  <c r="M1626" i="1"/>
  <c r="O1625" i="1"/>
  <c r="O1625" i="1" a="1"/>
  <c r="N1625" i="1"/>
  <c r="M1625" i="1"/>
  <c r="O1624" i="1" a="1"/>
  <c r="O1624" i="1" s="1"/>
  <c r="N1624" i="1"/>
  <c r="M1624" i="1"/>
  <c r="O1623" i="1"/>
  <c r="O1623" i="1" a="1"/>
  <c r="N1623" i="1"/>
  <c r="M1623" i="1"/>
  <c r="O1622" i="1"/>
  <c r="O1622" i="1" a="1"/>
  <c r="N1622" i="1"/>
  <c r="M1622" i="1"/>
  <c r="O1621" i="1" a="1"/>
  <c r="O1621" i="1" s="1"/>
  <c r="N1621" i="1"/>
  <c r="M1621" i="1"/>
  <c r="O1620" i="1" a="1"/>
  <c r="O1620" i="1" s="1"/>
  <c r="N1620" i="1"/>
  <c r="M1620" i="1"/>
  <c r="O1619" i="1"/>
  <c r="O1619" i="1" a="1"/>
  <c r="N1619" i="1"/>
  <c r="M1619" i="1"/>
  <c r="O1618" i="1" a="1"/>
  <c r="O1618" i="1" s="1"/>
  <c r="N1618" i="1"/>
  <c r="M1618" i="1"/>
  <c r="O1617" i="1" a="1"/>
  <c r="O1617" i="1" s="1"/>
  <c r="N1617" i="1"/>
  <c r="M1617" i="1"/>
  <c r="O1616" i="1"/>
  <c r="O1616" i="1" a="1"/>
  <c r="N1616" i="1"/>
  <c r="M1616" i="1"/>
  <c r="O1615" i="1" a="1"/>
  <c r="O1615" i="1" s="1"/>
  <c r="N1615" i="1"/>
  <c r="M1615" i="1"/>
  <c r="O1614" i="1" a="1"/>
  <c r="O1614" i="1" s="1"/>
  <c r="N1614" i="1"/>
  <c r="M1614" i="1"/>
  <c r="O1613" i="1"/>
  <c r="O1613" i="1" a="1"/>
  <c r="N1613" i="1"/>
  <c r="M1613" i="1"/>
  <c r="O1612" i="1" a="1"/>
  <c r="O1612" i="1" s="1"/>
  <c r="N1612" i="1"/>
  <c r="M1612" i="1"/>
  <c r="O1611" i="1" a="1"/>
  <c r="O1611" i="1" s="1"/>
  <c r="N1611" i="1"/>
  <c r="M1611" i="1"/>
  <c r="O1610" i="1"/>
  <c r="O1610" i="1" a="1"/>
  <c r="N1610" i="1"/>
  <c r="M1610" i="1"/>
  <c r="O1609" i="1" a="1"/>
  <c r="O1609" i="1" s="1"/>
  <c r="N1609" i="1"/>
  <c r="M1609" i="1"/>
  <c r="O1608" i="1" a="1"/>
  <c r="O1608" i="1" s="1"/>
  <c r="N1608" i="1"/>
  <c r="M1608" i="1"/>
  <c r="O1607" i="1" a="1"/>
  <c r="O1607" i="1" s="1"/>
  <c r="N1607" i="1"/>
  <c r="M1607" i="1"/>
  <c r="O1606" i="1" a="1"/>
  <c r="O1606" i="1" s="1"/>
  <c r="N1606" i="1"/>
  <c r="M1606" i="1"/>
  <c r="O1605" i="1"/>
  <c r="O1605" i="1" a="1"/>
  <c r="N1605" i="1"/>
  <c r="M1605" i="1"/>
  <c r="O1604" i="1" a="1"/>
  <c r="O1604" i="1" s="1"/>
  <c r="N1604" i="1"/>
  <c r="M1604" i="1"/>
  <c r="O1603" i="1" a="1"/>
  <c r="O1603" i="1" s="1"/>
  <c r="N1603" i="1"/>
  <c r="M1603" i="1"/>
  <c r="O1602" i="1" a="1"/>
  <c r="O1602" i="1" s="1"/>
  <c r="N1602" i="1"/>
  <c r="M1602" i="1"/>
  <c r="O1601" i="1"/>
  <c r="O1601" i="1" a="1"/>
  <c r="N1601" i="1"/>
  <c r="M1601" i="1"/>
  <c r="O1600" i="1" a="1"/>
  <c r="O1600" i="1" s="1"/>
  <c r="N1600" i="1"/>
  <c r="M1600" i="1"/>
  <c r="O1599" i="1" a="1"/>
  <c r="O1599" i="1" s="1"/>
  <c r="N1599" i="1"/>
  <c r="M1599" i="1"/>
  <c r="O1598" i="1" a="1"/>
  <c r="O1598" i="1" s="1"/>
  <c r="N1598" i="1"/>
  <c r="M1598" i="1"/>
  <c r="O1597" i="1" a="1"/>
  <c r="O1597" i="1" s="1"/>
  <c r="N1597" i="1"/>
  <c r="M1597" i="1"/>
  <c r="O1596" i="1"/>
  <c r="O1596" i="1" a="1"/>
  <c r="N1596" i="1"/>
  <c r="M1596" i="1"/>
  <c r="O1595" i="1"/>
  <c r="O1595" i="1" a="1"/>
  <c r="N1595" i="1"/>
  <c r="M1595" i="1"/>
  <c r="O1594" i="1" a="1"/>
  <c r="O1594" i="1" s="1"/>
  <c r="N1594" i="1"/>
  <c r="M1594" i="1"/>
  <c r="O1593" i="1" a="1"/>
  <c r="O1593" i="1" s="1"/>
  <c r="N1593" i="1"/>
  <c r="M1593" i="1"/>
  <c r="O1592" i="1"/>
  <c r="O1592" i="1" a="1"/>
  <c r="N1592" i="1"/>
  <c r="M1592" i="1"/>
  <c r="O1591" i="1" a="1"/>
  <c r="O1591" i="1" s="1"/>
  <c r="N1591" i="1"/>
  <c r="M1591" i="1"/>
  <c r="O1590" i="1" a="1"/>
  <c r="O1590" i="1" s="1"/>
  <c r="N1590" i="1"/>
  <c r="M1590" i="1"/>
  <c r="O1589" i="1" a="1"/>
  <c r="O1589" i="1" s="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c r="O1583" i="1" a="1"/>
  <c r="N1583" i="1"/>
  <c r="M1583" i="1"/>
  <c r="O1582" i="1" a="1"/>
  <c r="O1582" i="1" s="1"/>
  <c r="N1582" i="1"/>
  <c r="M1582" i="1"/>
  <c r="O1581" i="1"/>
  <c r="O1581" i="1" a="1"/>
  <c r="N1581" i="1"/>
  <c r="M1581" i="1"/>
  <c r="O1580" i="1" a="1"/>
  <c r="O1580" i="1" s="1"/>
  <c r="N1580" i="1"/>
  <c r="M1580" i="1"/>
  <c r="O1579" i="1" a="1"/>
  <c r="O1579" i="1" s="1"/>
  <c r="N1579" i="1"/>
  <c r="M1579" i="1"/>
  <c r="O1578" i="1"/>
  <c r="O1578" i="1" a="1"/>
  <c r="N1578" i="1"/>
  <c r="M1578" i="1"/>
  <c r="O1577" i="1" a="1"/>
  <c r="O1577" i="1" s="1"/>
  <c r="N1577" i="1"/>
  <c r="M1577" i="1"/>
  <c r="O1576" i="1" a="1"/>
  <c r="O1576" i="1" s="1"/>
  <c r="N1576" i="1"/>
  <c r="M1576" i="1"/>
  <c r="O1575" i="1" a="1"/>
  <c r="O1575" i="1" s="1"/>
  <c r="N1575" i="1"/>
  <c r="M1575" i="1"/>
  <c r="O1574" i="1"/>
  <c r="O1574" i="1" a="1"/>
  <c r="N1574" i="1"/>
  <c r="M1574" i="1"/>
  <c r="O1573" i="1" a="1"/>
  <c r="O1573" i="1" s="1"/>
  <c r="N1573" i="1"/>
  <c r="M1573" i="1"/>
  <c r="O1572" i="1" a="1"/>
  <c r="O1572" i="1" s="1"/>
  <c r="N1572" i="1"/>
  <c r="M1572" i="1"/>
  <c r="O1571" i="1" a="1"/>
  <c r="O1571" i="1" s="1"/>
  <c r="N1571" i="1"/>
  <c r="M1571" i="1"/>
  <c r="O1570" i="1" a="1"/>
  <c r="O1570" i="1" s="1"/>
  <c r="N1570" i="1"/>
  <c r="M1570" i="1"/>
  <c r="O1569" i="1"/>
  <c r="O1569" i="1" a="1"/>
  <c r="N1569" i="1"/>
  <c r="M1569" i="1"/>
  <c r="O1568" i="1"/>
  <c r="O1568" i="1" a="1"/>
  <c r="N1568" i="1"/>
  <c r="M1568" i="1"/>
  <c r="O1567" i="1" a="1"/>
  <c r="O1567" i="1" s="1"/>
  <c r="N1567" i="1"/>
  <c r="M1567" i="1"/>
  <c r="O1566" i="1"/>
  <c r="O1566" i="1" a="1"/>
  <c r="N1566" i="1"/>
  <c r="M1566" i="1"/>
  <c r="O1565" i="1" a="1"/>
  <c r="O1565" i="1" s="1"/>
  <c r="N1565" i="1"/>
  <c r="M1565" i="1"/>
  <c r="O1564" i="1" a="1"/>
  <c r="O1564" i="1" s="1"/>
  <c r="N1564" i="1"/>
  <c r="M1564" i="1"/>
  <c r="O1563" i="1" a="1"/>
  <c r="O1563" i="1" s="1"/>
  <c r="N1563" i="1"/>
  <c r="M1563" i="1"/>
  <c r="O1562" i="1" a="1"/>
  <c r="O1562" i="1" s="1"/>
  <c r="N1562" i="1"/>
  <c r="M1562" i="1"/>
  <c r="O1561" i="1" a="1"/>
  <c r="O1561" i="1" s="1"/>
  <c r="N1561" i="1"/>
  <c r="M1561" i="1"/>
  <c r="O1560" i="1"/>
  <c r="O1560" i="1" a="1"/>
  <c r="N1560" i="1"/>
  <c r="M1560" i="1"/>
  <c r="O1559" i="1"/>
  <c r="O1559" i="1" a="1"/>
  <c r="N1559" i="1"/>
  <c r="M1559" i="1"/>
  <c r="O1558" i="1" a="1"/>
  <c r="O1558" i="1" s="1"/>
  <c r="N1558" i="1"/>
  <c r="M1558" i="1"/>
  <c r="O1557" i="1" a="1"/>
  <c r="O1557" i="1" s="1"/>
  <c r="N1557" i="1"/>
  <c r="M1557" i="1"/>
  <c r="O1556" i="1" a="1"/>
  <c r="O1556" i="1" s="1"/>
  <c r="N1556" i="1"/>
  <c r="M1556" i="1"/>
  <c r="O1555" i="1" a="1"/>
  <c r="O1555" i="1" s="1"/>
  <c r="N1555" i="1"/>
  <c r="M1555" i="1"/>
  <c r="O1554" i="1" a="1"/>
  <c r="O1554" i="1" s="1"/>
  <c r="N1554" i="1"/>
  <c r="M1554" i="1"/>
  <c r="O1553" i="1" a="1"/>
  <c r="O1553" i="1" s="1"/>
  <c r="N1553" i="1"/>
  <c r="M1553" i="1"/>
  <c r="O1552" i="1" a="1"/>
  <c r="O1552" i="1" s="1"/>
  <c r="N1552" i="1"/>
  <c r="M1552" i="1"/>
  <c r="O1551" i="1"/>
  <c r="O1551" i="1" a="1"/>
  <c r="N1551" i="1"/>
  <c r="M1551" i="1"/>
  <c r="O1550" i="1" a="1"/>
  <c r="O1550" i="1" s="1"/>
  <c r="N1550" i="1"/>
  <c r="M1550" i="1"/>
  <c r="O1549" i="1" a="1"/>
  <c r="O1549" i="1" s="1"/>
  <c r="N1549" i="1"/>
  <c r="M1549" i="1"/>
  <c r="O1548" i="1"/>
  <c r="O1548" i="1" a="1"/>
  <c r="N1548" i="1"/>
  <c r="M1548" i="1"/>
  <c r="O1547" i="1"/>
  <c r="O1547" i="1" a="1"/>
  <c r="N1547" i="1"/>
  <c r="M1547" i="1"/>
  <c r="O1546" i="1" a="1"/>
  <c r="O1546" i="1" s="1"/>
  <c r="N1546" i="1"/>
  <c r="M1546" i="1"/>
  <c r="O1545" i="1"/>
  <c r="O1545" i="1" a="1"/>
  <c r="N1545" i="1"/>
  <c r="M1545" i="1"/>
  <c r="O1544" i="1" a="1"/>
  <c r="O1544" i="1" s="1"/>
  <c r="N1544" i="1"/>
  <c r="M1544" i="1"/>
  <c r="O1543" i="1" a="1"/>
  <c r="O1543" i="1" s="1"/>
  <c r="N1543" i="1"/>
  <c r="M1543" i="1"/>
  <c r="O1542" i="1"/>
  <c r="O1542" i="1" a="1"/>
  <c r="N1542" i="1"/>
  <c r="M1542" i="1"/>
  <c r="O1541" i="1" a="1"/>
  <c r="O1541" i="1" s="1"/>
  <c r="N1541" i="1"/>
  <c r="M1541" i="1"/>
  <c r="O1540" i="1" a="1"/>
  <c r="O1540" i="1" s="1"/>
  <c r="N1540" i="1"/>
  <c r="M1540" i="1"/>
  <c r="O1539" i="1" a="1"/>
  <c r="O1539" i="1" s="1"/>
  <c r="N1539" i="1"/>
  <c r="M1539" i="1"/>
  <c r="O1538" i="1"/>
  <c r="O1538" i="1" a="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a="1"/>
  <c r="O1530" i="1" s="1"/>
  <c r="N1530" i="1"/>
  <c r="M1530" i="1"/>
  <c r="O1529" i="1" a="1"/>
  <c r="O1529" i="1" s="1"/>
  <c r="N1529" i="1"/>
  <c r="M1529" i="1"/>
  <c r="O1528" i="1" a="1"/>
  <c r="O1528" i="1" s="1"/>
  <c r="N1528" i="1"/>
  <c r="M1528" i="1"/>
  <c r="O1527" i="1" a="1"/>
  <c r="O1527" i="1" s="1"/>
  <c r="N1527" i="1"/>
  <c r="M1527" i="1"/>
  <c r="O1526" i="1" a="1"/>
  <c r="O1526" i="1" s="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a="1"/>
  <c r="O1519" i="1" s="1"/>
  <c r="N1519" i="1"/>
  <c r="M1519" i="1"/>
  <c r="O1518" i="1" a="1"/>
  <c r="O1518" i="1" s="1"/>
  <c r="N1518" i="1"/>
  <c r="M1518" i="1"/>
  <c r="O1517" i="1" a="1"/>
  <c r="O1517" i="1" s="1"/>
  <c r="N1517" i="1"/>
  <c r="M1517" i="1"/>
  <c r="O1516" i="1" a="1"/>
  <c r="O1516" i="1" s="1"/>
  <c r="N1516" i="1"/>
  <c r="M1516" i="1"/>
  <c r="O1515" i="1"/>
  <c r="O1515" i="1" a="1"/>
  <c r="N1515" i="1"/>
  <c r="M1515" i="1"/>
  <c r="O1514" i="1" a="1"/>
  <c r="O1514" i="1" s="1"/>
  <c r="N1514" i="1"/>
  <c r="M1514" i="1"/>
  <c r="O1513" i="1" a="1"/>
  <c r="O1513" i="1" s="1"/>
  <c r="N1513" i="1"/>
  <c r="M1513" i="1"/>
  <c r="O1512" i="1" a="1"/>
  <c r="O1512" i="1" s="1"/>
  <c r="N1512" i="1"/>
  <c r="M1512" i="1"/>
  <c r="O1511" i="1"/>
  <c r="O1511" i="1" a="1"/>
  <c r="N1511" i="1"/>
  <c r="M1511" i="1"/>
  <c r="O1510" i="1" a="1"/>
  <c r="O1510" i="1" s="1"/>
  <c r="N1510" i="1"/>
  <c r="M1510" i="1"/>
  <c r="O1509" i="1"/>
  <c r="O1509" i="1" a="1"/>
  <c r="N1509" i="1"/>
  <c r="M1509" i="1"/>
  <c r="O1508" i="1" a="1"/>
  <c r="O1508" i="1" s="1"/>
  <c r="N1508" i="1"/>
  <c r="M1508" i="1"/>
  <c r="O1507" i="1" a="1"/>
  <c r="O1507" i="1" s="1"/>
  <c r="N1507" i="1"/>
  <c r="M1507" i="1"/>
  <c r="O1506" i="1"/>
  <c r="O1506" i="1" a="1"/>
  <c r="N1506" i="1"/>
  <c r="M1506" i="1"/>
  <c r="O1505" i="1" a="1"/>
  <c r="O1505" i="1" s="1"/>
  <c r="N1505" i="1"/>
  <c r="M1505" i="1"/>
  <c r="O1504" i="1" a="1"/>
  <c r="O1504" i="1" s="1"/>
  <c r="N1504" i="1"/>
  <c r="M1504" i="1"/>
  <c r="O1503" i="1" a="1"/>
  <c r="O1503" i="1" s="1"/>
  <c r="N1503" i="1"/>
  <c r="M1503" i="1"/>
  <c r="O1502" i="1"/>
  <c r="O1502" i="1" a="1"/>
  <c r="N1502" i="1"/>
  <c r="M1502" i="1"/>
  <c r="O1501" i="1" a="1"/>
  <c r="O1501" i="1" s="1"/>
  <c r="N1501" i="1"/>
  <c r="M1501" i="1"/>
  <c r="O1500" i="1" a="1"/>
  <c r="O1500" i="1" s="1"/>
  <c r="N1500" i="1"/>
  <c r="M1500" i="1"/>
  <c r="O1499" i="1" a="1"/>
  <c r="O1499" i="1" s="1"/>
  <c r="N1499" i="1"/>
  <c r="M1499" i="1"/>
  <c r="O1498" i="1" a="1"/>
  <c r="O1498" i="1" s="1"/>
  <c r="N1498" i="1"/>
  <c r="M1498" i="1"/>
  <c r="O1497" i="1" a="1"/>
  <c r="O1497" i="1" s="1"/>
  <c r="N1497" i="1"/>
  <c r="M1497" i="1"/>
  <c r="O1496" i="1"/>
  <c r="O1496" i="1" a="1"/>
  <c r="N1496" i="1"/>
  <c r="M1496" i="1"/>
  <c r="O1495" i="1" a="1"/>
  <c r="O1495" i="1" s="1"/>
  <c r="N1495" i="1"/>
  <c r="M1495" i="1"/>
  <c r="O1494" i="1" a="1"/>
  <c r="O1494" i="1" s="1"/>
  <c r="N1494" i="1"/>
  <c r="M1494" i="1"/>
  <c r="O1493" i="1" a="1"/>
  <c r="O1493" i="1" s="1"/>
  <c r="N1493" i="1"/>
  <c r="M1493" i="1"/>
  <c r="O1492" i="1" a="1"/>
  <c r="O1492" i="1" s="1"/>
  <c r="N1492" i="1"/>
  <c r="M1492" i="1"/>
  <c r="O1491" i="1" a="1"/>
  <c r="O1491" i="1" s="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a="1"/>
  <c r="O1485" i="1" s="1"/>
  <c r="N1485" i="1"/>
  <c r="M1485" i="1"/>
  <c r="O1484" i="1" a="1"/>
  <c r="O1484" i="1" s="1"/>
  <c r="N1484" i="1"/>
  <c r="M1484" i="1"/>
  <c r="O1483" i="1" a="1"/>
  <c r="O1483" i="1" s="1"/>
  <c r="N1483" i="1"/>
  <c r="M1483" i="1"/>
  <c r="O1482" i="1" a="1"/>
  <c r="O1482" i="1" s="1"/>
  <c r="N1482" i="1"/>
  <c r="M1482" i="1"/>
  <c r="O1481" i="1" a="1"/>
  <c r="O1481" i="1" s="1"/>
  <c r="N1481" i="1"/>
  <c r="M1481" i="1"/>
  <c r="O1480" i="1" a="1"/>
  <c r="O1480" i="1" s="1"/>
  <c r="N1480" i="1"/>
  <c r="M1480" i="1"/>
  <c r="O1479" i="1"/>
  <c r="O1479" i="1" a="1"/>
  <c r="N1479" i="1"/>
  <c r="M1479" i="1"/>
  <c r="O1478" i="1" a="1"/>
  <c r="O1478" i="1" s="1"/>
  <c r="N1478" i="1"/>
  <c r="M1478" i="1"/>
  <c r="O1477" i="1" a="1"/>
  <c r="O1477" i="1" s="1"/>
  <c r="N1477" i="1"/>
  <c r="M1477" i="1"/>
  <c r="O1476" i="1" a="1"/>
  <c r="O1476" i="1" s="1"/>
  <c r="N1476" i="1"/>
  <c r="M1476" i="1"/>
  <c r="O1475" i="1"/>
  <c r="O1475" i="1" a="1"/>
  <c r="N1475" i="1"/>
  <c r="M1475" i="1"/>
  <c r="O1474" i="1" a="1"/>
  <c r="O1474" i="1" s="1"/>
  <c r="N1474" i="1"/>
  <c r="M1474" i="1"/>
  <c r="O1473" i="1" a="1"/>
  <c r="O1473" i="1" s="1"/>
  <c r="N1473" i="1"/>
  <c r="M1473" i="1"/>
  <c r="O1472" i="1" a="1"/>
  <c r="O1472" i="1" s="1"/>
  <c r="N1472" i="1"/>
  <c r="M1472" i="1"/>
  <c r="O1471" i="1" a="1"/>
  <c r="O1471" i="1" s="1"/>
  <c r="N1471" i="1"/>
  <c r="M1471" i="1"/>
  <c r="O1470" i="1" a="1"/>
  <c r="O1470" i="1" s="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a="1"/>
  <c r="O1463" i="1" s="1"/>
  <c r="N1463" i="1"/>
  <c r="M1463" i="1"/>
  <c r="O1462" i="1" a="1"/>
  <c r="O1462" i="1" s="1"/>
  <c r="N1462" i="1"/>
  <c r="M1462" i="1"/>
  <c r="O1461" i="1"/>
  <c r="O1461" i="1" a="1"/>
  <c r="N1461" i="1"/>
  <c r="M1461" i="1"/>
  <c r="O1460" i="1"/>
  <c r="O1460" i="1" a="1"/>
  <c r="N1460" i="1"/>
  <c r="M1460" i="1"/>
  <c r="O1459" i="1" a="1"/>
  <c r="O1459" i="1" s="1"/>
  <c r="N1459" i="1"/>
  <c r="M1459" i="1"/>
  <c r="O1458" i="1" a="1"/>
  <c r="O1458" i="1" s="1"/>
  <c r="N1458" i="1"/>
  <c r="M1458" i="1"/>
  <c r="O1457" i="1" a="1"/>
  <c r="O1457" i="1" s="1"/>
  <c r="N1457" i="1"/>
  <c r="M1457" i="1"/>
  <c r="O1456" i="1" a="1"/>
  <c r="O1456" i="1" s="1"/>
  <c r="N1456" i="1"/>
  <c r="M1456" i="1"/>
  <c r="O1455" i="1" a="1"/>
  <c r="O1455" i="1" s="1"/>
  <c r="N1455" i="1"/>
  <c r="M1455" i="1"/>
  <c r="O1454" i="1" a="1"/>
  <c r="O1454" i="1" s="1"/>
  <c r="N1454" i="1"/>
  <c r="M1454" i="1"/>
  <c r="O1453" i="1" a="1"/>
  <c r="O1453" i="1" s="1"/>
  <c r="N1453" i="1"/>
  <c r="M1453" i="1"/>
  <c r="O1452" i="1"/>
  <c r="O1452" i="1" a="1"/>
  <c r="N1452" i="1"/>
  <c r="M1452" i="1"/>
  <c r="O1451" i="1"/>
  <c r="O1451" i="1" a="1"/>
  <c r="N1451" i="1"/>
  <c r="M1451" i="1"/>
  <c r="O1450" i="1" a="1"/>
  <c r="O1450" i="1" s="1"/>
  <c r="N1450" i="1"/>
  <c r="M1450" i="1"/>
  <c r="O1449" i="1" a="1"/>
  <c r="O1449" i="1" s="1"/>
  <c r="N1449" i="1"/>
  <c r="M1449" i="1"/>
  <c r="O1448" i="1"/>
  <c r="O1448" i="1" a="1"/>
  <c r="N1448" i="1"/>
  <c r="M1448" i="1"/>
  <c r="O1447" i="1" a="1"/>
  <c r="O1447" i="1" s="1"/>
  <c r="N1447" i="1"/>
  <c r="M1447" i="1"/>
  <c r="O1446" i="1" a="1"/>
  <c r="O1446" i="1" s="1"/>
  <c r="N1446" i="1"/>
  <c r="M1446" i="1"/>
  <c r="O1445" i="1" a="1"/>
  <c r="O1445" i="1" s="1"/>
  <c r="N1445" i="1"/>
  <c r="M1445" i="1"/>
  <c r="O1444" i="1" a="1"/>
  <c r="O1444" i="1" s="1"/>
  <c r="N1444" i="1"/>
  <c r="M1444" i="1"/>
  <c r="O1443" i="1"/>
  <c r="O1443" i="1" a="1"/>
  <c r="N1443" i="1"/>
  <c r="M1443" i="1"/>
  <c r="O1442" i="1" a="1"/>
  <c r="O1442" i="1" s="1"/>
  <c r="N1442" i="1"/>
  <c r="M1442" i="1"/>
  <c r="O1441" i="1" a="1"/>
  <c r="O1441" i="1" s="1"/>
  <c r="N1441" i="1"/>
  <c r="M1441" i="1"/>
  <c r="O1440" i="1" a="1"/>
  <c r="O1440" i="1" s="1"/>
  <c r="N1440" i="1"/>
  <c r="M1440" i="1"/>
  <c r="O1439" i="1"/>
  <c r="O1439" i="1" a="1"/>
  <c r="N1439" i="1"/>
  <c r="M1439" i="1"/>
  <c r="O1438" i="1" a="1"/>
  <c r="O1438" i="1" s="1"/>
  <c r="N1438" i="1"/>
  <c r="M1438" i="1"/>
  <c r="O1437" i="1"/>
  <c r="O1437" i="1" a="1"/>
  <c r="N1437" i="1"/>
  <c r="M1437" i="1"/>
  <c r="O1436" i="1" a="1"/>
  <c r="O1436" i="1" s="1"/>
  <c r="N1436" i="1"/>
  <c r="M1436" i="1"/>
  <c r="O1435" i="1" a="1"/>
  <c r="O1435" i="1" s="1"/>
  <c r="N1435" i="1"/>
  <c r="M1435" i="1"/>
  <c r="O1434" i="1"/>
  <c r="O1434" i="1" a="1"/>
  <c r="N1434" i="1"/>
  <c r="M1434" i="1"/>
  <c r="O1433" i="1" a="1"/>
  <c r="O1433" i="1" s="1"/>
  <c r="N1433" i="1"/>
  <c r="M1433" i="1"/>
  <c r="O1432" i="1" a="1"/>
  <c r="O1432" i="1" s="1"/>
  <c r="N1432" i="1"/>
  <c r="M1432" i="1"/>
  <c r="O1431" i="1" a="1"/>
  <c r="O1431" i="1" s="1"/>
  <c r="N1431" i="1"/>
  <c r="M1431" i="1"/>
  <c r="O1430" i="1"/>
  <c r="O1430" i="1" a="1"/>
  <c r="N1430" i="1"/>
  <c r="M1430" i="1"/>
  <c r="O1429" i="1" a="1"/>
  <c r="O1429" i="1" s="1"/>
  <c r="N1429" i="1"/>
  <c r="M1429" i="1"/>
  <c r="O1428" i="1"/>
  <c r="O1428" i="1" a="1"/>
  <c r="N1428" i="1"/>
  <c r="M1428" i="1"/>
  <c r="O1427" i="1" a="1"/>
  <c r="O1427" i="1" s="1"/>
  <c r="N1427" i="1"/>
  <c r="M1427" i="1"/>
  <c r="O1426" i="1" a="1"/>
  <c r="O1426" i="1" s="1"/>
  <c r="N1426" i="1"/>
  <c r="M1426" i="1"/>
  <c r="O1425" i="1" a="1"/>
  <c r="O1425" i="1" s="1"/>
  <c r="N1425" i="1"/>
  <c r="M1425" i="1"/>
  <c r="O1424" i="1"/>
  <c r="O1424" i="1" a="1"/>
  <c r="N1424" i="1"/>
  <c r="M1424" i="1"/>
  <c r="O1423" i="1" a="1"/>
  <c r="O1423" i="1" s="1"/>
  <c r="N1423" i="1"/>
  <c r="M1423" i="1"/>
  <c r="O1422" i="1"/>
  <c r="O1422" i="1" a="1"/>
  <c r="N1422" i="1"/>
  <c r="M1422" i="1"/>
  <c r="O1421" i="1" a="1"/>
  <c r="O1421" i="1" s="1"/>
  <c r="N1421" i="1"/>
  <c r="M1421" i="1"/>
  <c r="O1420" i="1" a="1"/>
  <c r="O1420" i="1" s="1"/>
  <c r="N1420" i="1"/>
  <c r="M1420" i="1"/>
  <c r="O1419" i="1" a="1"/>
  <c r="O1419" i="1" s="1"/>
  <c r="N1419" i="1"/>
  <c r="M1419" i="1"/>
  <c r="O1418" i="1"/>
  <c r="O1418" i="1" a="1"/>
  <c r="N1418" i="1"/>
  <c r="M1418" i="1"/>
  <c r="O1417" i="1" a="1"/>
  <c r="O1417" i="1" s="1"/>
  <c r="N1417" i="1"/>
  <c r="M1417" i="1"/>
  <c r="O1416" i="1"/>
  <c r="O1416" i="1" a="1"/>
  <c r="N1416" i="1"/>
  <c r="M1416" i="1"/>
  <c r="O1415" i="1"/>
  <c r="O1415" i="1" a="1"/>
  <c r="N1415" i="1"/>
  <c r="M1415" i="1"/>
  <c r="O1414" i="1" a="1"/>
  <c r="O1414" i="1" s="1"/>
  <c r="N1414" i="1"/>
  <c r="M1414" i="1"/>
  <c r="O1413" i="1" a="1"/>
  <c r="O1413" i="1" s="1"/>
  <c r="N1413" i="1"/>
  <c r="M1413" i="1"/>
  <c r="O1412" i="1" a="1"/>
  <c r="O1412" i="1" s="1"/>
  <c r="N1412" i="1"/>
  <c r="M1412" i="1"/>
  <c r="O1411" i="1" a="1"/>
  <c r="O1411" i="1" s="1"/>
  <c r="N1411" i="1"/>
  <c r="M1411" i="1"/>
  <c r="O1410" i="1" a="1"/>
  <c r="O1410" i="1" s="1"/>
  <c r="N1410" i="1"/>
  <c r="M1410" i="1"/>
  <c r="O1409" i="1" a="1"/>
  <c r="O1409" i="1" s="1"/>
  <c r="N1409" i="1"/>
  <c r="M1409" i="1"/>
  <c r="O1408" i="1" a="1"/>
  <c r="O1408" i="1" s="1"/>
  <c r="N1408" i="1"/>
  <c r="M1408" i="1"/>
  <c r="O1407" i="1"/>
  <c r="O1407" i="1" a="1"/>
  <c r="N1407" i="1"/>
  <c r="M1407" i="1"/>
  <c r="O1406" i="1" a="1"/>
  <c r="O1406" i="1" s="1"/>
  <c r="N1406" i="1"/>
  <c r="M1406" i="1"/>
  <c r="O1405" i="1" a="1"/>
  <c r="O1405" i="1" s="1"/>
  <c r="N1405" i="1"/>
  <c r="M1405" i="1"/>
  <c r="O1404" i="1"/>
  <c r="O1404" i="1" a="1"/>
  <c r="N1404" i="1"/>
  <c r="M1404" i="1"/>
  <c r="O1403" i="1"/>
  <c r="O1403" i="1" a="1"/>
  <c r="N1403" i="1"/>
  <c r="M1403" i="1"/>
  <c r="O1402" i="1" a="1"/>
  <c r="O1402" i="1" s="1"/>
  <c r="N1402" i="1"/>
  <c r="M1402" i="1"/>
  <c r="O1401" i="1" a="1"/>
  <c r="O1401" i="1" s="1"/>
  <c r="N1401" i="1"/>
  <c r="M1401" i="1"/>
  <c r="O1400" i="1" a="1"/>
  <c r="O1400" i="1" s="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a="1"/>
  <c r="O1393" i="1" s="1"/>
  <c r="N1393" i="1"/>
  <c r="M1393" i="1"/>
  <c r="O1392" i="1" a="1"/>
  <c r="O1392" i="1" s="1"/>
  <c r="N1392" i="1"/>
  <c r="M1392" i="1"/>
  <c r="O1391" i="1" a="1"/>
  <c r="O1391" i="1" s="1"/>
  <c r="N1391" i="1"/>
  <c r="M1391" i="1"/>
  <c r="O1390" i="1" a="1"/>
  <c r="O1390" i="1" s="1"/>
  <c r="N1390" i="1"/>
  <c r="M1390" i="1"/>
  <c r="O1389" i="1"/>
  <c r="O1389" i="1" a="1"/>
  <c r="N1389" i="1"/>
  <c r="M1389" i="1"/>
  <c r="O1388" i="1" a="1"/>
  <c r="O1388" i="1" s="1"/>
  <c r="N1388" i="1"/>
  <c r="M1388" i="1"/>
  <c r="O1387" i="1" a="1"/>
  <c r="O1387" i="1" s="1"/>
  <c r="N1387" i="1"/>
  <c r="M1387" i="1"/>
  <c r="O1386" i="1" a="1"/>
  <c r="O1386" i="1" s="1"/>
  <c r="N1386" i="1"/>
  <c r="M1386" i="1"/>
  <c r="O1385" i="1" a="1"/>
  <c r="O1385" i="1" s="1"/>
  <c r="N1385" i="1"/>
  <c r="M1385" i="1"/>
  <c r="O1384" i="1" a="1"/>
  <c r="O1384" i="1" s="1"/>
  <c r="N1384" i="1"/>
  <c r="M1384" i="1"/>
  <c r="O1383" i="1" a="1"/>
  <c r="O1383" i="1" s="1"/>
  <c r="N1383" i="1"/>
  <c r="M1383" i="1"/>
  <c r="O1382" i="1" a="1"/>
  <c r="O1382" i="1" s="1"/>
  <c r="N1382" i="1"/>
  <c r="M1382" i="1"/>
  <c r="O1381" i="1" a="1"/>
  <c r="O1381" i="1" s="1"/>
  <c r="N1381" i="1"/>
  <c r="M1381" i="1"/>
  <c r="O1380" i="1"/>
  <c r="O1380" i="1" a="1"/>
  <c r="N1380" i="1"/>
  <c r="M1380" i="1"/>
  <c r="O1379" i="1" a="1"/>
  <c r="O1379" i="1" s="1"/>
  <c r="N1379" i="1"/>
  <c r="M1379" i="1"/>
  <c r="O1378" i="1" a="1"/>
  <c r="O1378" i="1" s="1"/>
  <c r="N1378" i="1"/>
  <c r="M1378" i="1"/>
  <c r="O1377" i="1" a="1"/>
  <c r="O1377" i="1" s="1"/>
  <c r="N1377" i="1"/>
  <c r="M1377" i="1"/>
  <c r="O1376" i="1"/>
  <c r="O1376" i="1" a="1"/>
  <c r="N1376" i="1"/>
  <c r="M1376" i="1"/>
  <c r="O1375" i="1" a="1"/>
  <c r="O1375" i="1" s="1"/>
  <c r="N1375" i="1"/>
  <c r="M1375" i="1"/>
  <c r="O1374" i="1" a="1"/>
  <c r="O1374" i="1" s="1"/>
  <c r="N1374" i="1"/>
  <c r="M1374" i="1"/>
  <c r="O1373" i="1" a="1"/>
  <c r="O1373" i="1" s="1"/>
  <c r="N1373" i="1"/>
  <c r="M1373" i="1"/>
  <c r="O1372" i="1" a="1"/>
  <c r="O1372" i="1" s="1"/>
  <c r="N1372" i="1"/>
  <c r="M1372" i="1"/>
  <c r="O1371" i="1"/>
  <c r="O1371" i="1" a="1"/>
  <c r="N1371" i="1"/>
  <c r="M1371" i="1"/>
  <c r="O1370" i="1" a="1"/>
  <c r="O1370" i="1" s="1"/>
  <c r="N1370" i="1"/>
  <c r="M1370" i="1"/>
  <c r="O1369" i="1" a="1"/>
  <c r="O1369" i="1" s="1"/>
  <c r="N1369" i="1"/>
  <c r="M1369" i="1"/>
  <c r="O1368" i="1" a="1"/>
  <c r="O1368" i="1" s="1"/>
  <c r="N1368" i="1"/>
  <c r="M1368" i="1"/>
  <c r="O1367" i="1"/>
  <c r="O1367" i="1" a="1"/>
  <c r="N1367" i="1"/>
  <c r="M1367" i="1"/>
  <c r="O1366" i="1" a="1"/>
  <c r="O1366" i="1" s="1"/>
  <c r="N1366" i="1"/>
  <c r="M1366" i="1"/>
  <c r="O1365" i="1" a="1"/>
  <c r="O1365" i="1" s="1"/>
  <c r="N1365" i="1"/>
  <c r="M1365" i="1"/>
  <c r="O1364" i="1" a="1"/>
  <c r="O1364" i="1" s="1"/>
  <c r="N1364" i="1"/>
  <c r="M1364" i="1"/>
  <c r="O1363" i="1" a="1"/>
  <c r="O1363" i="1" s="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a="1"/>
  <c r="O1356" i="1" s="1"/>
  <c r="N1356" i="1"/>
  <c r="M1356" i="1"/>
  <c r="O1355" i="1" a="1"/>
  <c r="O1355" i="1" s="1"/>
  <c r="N1355" i="1"/>
  <c r="M1355" i="1"/>
  <c r="O1354" i="1" a="1"/>
  <c r="O1354" i="1" s="1"/>
  <c r="N1354" i="1"/>
  <c r="M1354" i="1"/>
  <c r="O1353" i="1" a="1"/>
  <c r="O1353" i="1" s="1"/>
  <c r="N1353" i="1"/>
  <c r="M1353" i="1"/>
  <c r="O1352" i="1"/>
  <c r="O1352" i="1" a="1"/>
  <c r="N1352" i="1"/>
  <c r="M1352" i="1"/>
  <c r="O1351" i="1" a="1"/>
  <c r="O1351" i="1" s="1"/>
  <c r="N1351" i="1"/>
  <c r="M1351" i="1"/>
  <c r="O1350" i="1"/>
  <c r="O1350" i="1" a="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a="1"/>
  <c r="O1343" i="1" s="1"/>
  <c r="N1343" i="1"/>
  <c r="M1343" i="1"/>
  <c r="O1342" i="1" a="1"/>
  <c r="O1342" i="1" s="1"/>
  <c r="N1342" i="1"/>
  <c r="M1342" i="1"/>
  <c r="O1341" i="1" a="1"/>
  <c r="O1341" i="1" s="1"/>
  <c r="N1341" i="1"/>
  <c r="M1341" i="1"/>
  <c r="O1340" i="1"/>
  <c r="O1340" i="1" a="1"/>
  <c r="N1340" i="1"/>
  <c r="M1340" i="1"/>
  <c r="O1339" i="1" a="1"/>
  <c r="O1339" i="1" s="1"/>
  <c r="N1339" i="1"/>
  <c r="M1339" i="1"/>
  <c r="O1338" i="1" a="1"/>
  <c r="O1338" i="1" s="1"/>
  <c r="N1338" i="1"/>
  <c r="M1338" i="1"/>
  <c r="O1337" i="1" a="1"/>
  <c r="O1337" i="1" s="1"/>
  <c r="N1337" i="1"/>
  <c r="M1337" i="1"/>
  <c r="O1336" i="1" a="1"/>
  <c r="O1336" i="1" s="1"/>
  <c r="N1336" i="1"/>
  <c r="M1336" i="1"/>
  <c r="O1335" i="1"/>
  <c r="O1335" i="1" a="1"/>
  <c r="N1335" i="1"/>
  <c r="M1335" i="1"/>
  <c r="O1334" i="1" a="1"/>
  <c r="O1334" i="1" s="1"/>
  <c r="N1334" i="1"/>
  <c r="M1334" i="1"/>
  <c r="O1333" i="1" a="1"/>
  <c r="O1333" i="1" s="1"/>
  <c r="N1333" i="1"/>
  <c r="M1333" i="1"/>
  <c r="O1332" i="1" a="1"/>
  <c r="O1332" i="1" s="1"/>
  <c r="N1332" i="1"/>
  <c r="M1332" i="1"/>
  <c r="O1331" i="1"/>
  <c r="O1331" i="1" a="1"/>
  <c r="N1331" i="1"/>
  <c r="M1331" i="1"/>
  <c r="O1330" i="1" a="1"/>
  <c r="O1330" i="1" s="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a="1"/>
  <c r="O1323" i="1" s="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a="1"/>
  <c r="O1316" i="1" s="1"/>
  <c r="N1316" i="1"/>
  <c r="M1316" i="1"/>
  <c r="O1315" i="1" a="1"/>
  <c r="O1315" i="1" s="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a="1"/>
  <c r="O1309" i="1" s="1"/>
  <c r="N1309" i="1"/>
  <c r="M1309" i="1"/>
  <c r="O1308" i="1"/>
  <c r="O1308" i="1" a="1"/>
  <c r="N1308" i="1"/>
  <c r="M1308" i="1"/>
  <c r="O1307" i="1" a="1"/>
  <c r="O1307" i="1" s="1"/>
  <c r="N1307" i="1"/>
  <c r="M1307" i="1"/>
  <c r="O1306" i="1" a="1"/>
  <c r="O1306" i="1" s="1"/>
  <c r="N1306" i="1"/>
  <c r="M1306" i="1"/>
  <c r="O1305" i="1" a="1"/>
  <c r="O1305" i="1" s="1"/>
  <c r="N1305" i="1"/>
  <c r="M1305" i="1"/>
  <c r="O1304" i="1"/>
  <c r="O1304" i="1" a="1"/>
  <c r="N1304" i="1"/>
  <c r="M1304" i="1"/>
  <c r="O1303" i="1" a="1"/>
  <c r="O1303" i="1" s="1"/>
  <c r="N1303" i="1"/>
  <c r="M1303" i="1"/>
  <c r="O1302" i="1" a="1"/>
  <c r="O1302" i="1" s="1"/>
  <c r="N1302" i="1"/>
  <c r="M1302" i="1"/>
  <c r="O1301" i="1" a="1"/>
  <c r="O1301" i="1" s="1"/>
  <c r="N1301" i="1"/>
  <c r="M1301" i="1"/>
  <c r="O1300" i="1" a="1"/>
  <c r="O1300" i="1" s="1"/>
  <c r="N1300" i="1"/>
  <c r="M1300" i="1"/>
  <c r="O1299" i="1"/>
  <c r="O1299" i="1" a="1"/>
  <c r="N1299" i="1"/>
  <c r="M1299" i="1"/>
  <c r="O1298" i="1" a="1"/>
  <c r="O1298" i="1" s="1"/>
  <c r="N1298" i="1"/>
  <c r="M1298" i="1"/>
  <c r="O1297" i="1" a="1"/>
  <c r="O1297" i="1" s="1"/>
  <c r="N1297" i="1"/>
  <c r="M1297" i="1"/>
  <c r="O1296" i="1" a="1"/>
  <c r="O1296" i="1" s="1"/>
  <c r="N1296" i="1"/>
  <c r="M1296" i="1"/>
  <c r="O1295" i="1"/>
  <c r="O1295" i="1" a="1"/>
  <c r="N1295" i="1"/>
  <c r="M1295" i="1"/>
  <c r="O1294" i="1" a="1"/>
  <c r="O1294" i="1" s="1"/>
  <c r="N1294" i="1"/>
  <c r="M1294" i="1"/>
  <c r="O1293" i="1" a="1"/>
  <c r="O1293" i="1" s="1"/>
  <c r="N1293" i="1"/>
  <c r="M1293" i="1"/>
  <c r="O1292" i="1" a="1"/>
  <c r="O1292" i="1" s="1"/>
  <c r="N1292" i="1"/>
  <c r="M1292" i="1"/>
  <c r="O1291" i="1" a="1"/>
  <c r="O1291" i="1" s="1"/>
  <c r="N1291" i="1"/>
  <c r="M1291" i="1"/>
  <c r="O1290" i="1"/>
  <c r="O1290" i="1" a="1"/>
  <c r="N1290" i="1"/>
  <c r="M1290" i="1"/>
  <c r="O1289" i="1" a="1"/>
  <c r="O1289" i="1" s="1"/>
  <c r="N1289" i="1"/>
  <c r="M1289" i="1"/>
  <c r="O1288" i="1" a="1"/>
  <c r="O1288" i="1" s="1"/>
  <c r="N1288" i="1"/>
  <c r="M1288" i="1"/>
  <c r="O1287" i="1" a="1"/>
  <c r="O1287" i="1" s="1"/>
  <c r="N1287" i="1"/>
  <c r="M1287" i="1"/>
  <c r="O1286" i="1"/>
  <c r="O1286" i="1" a="1"/>
  <c r="N1286" i="1"/>
  <c r="M1286" i="1"/>
  <c r="O1285" i="1" a="1"/>
  <c r="O1285" i="1" s="1"/>
  <c r="N1285" i="1"/>
  <c r="M1285" i="1"/>
  <c r="O1284" i="1" a="1"/>
  <c r="O1284" i="1" s="1"/>
  <c r="N1284" i="1"/>
  <c r="M1284" i="1"/>
  <c r="O1283" i="1"/>
  <c r="O1283" i="1" a="1"/>
  <c r="N1283" i="1"/>
  <c r="M1283" i="1"/>
  <c r="O1282" i="1" a="1"/>
  <c r="O1282" i="1" s="1"/>
  <c r="N1282" i="1"/>
  <c r="M1282" i="1"/>
  <c r="O1281" i="1" a="1"/>
  <c r="O1281" i="1" s="1"/>
  <c r="N1281" i="1"/>
  <c r="M1281" i="1"/>
  <c r="O1280" i="1"/>
  <c r="O1280" i="1" a="1"/>
  <c r="N1280" i="1"/>
  <c r="M1280" i="1"/>
  <c r="O1279" i="1" a="1"/>
  <c r="O1279" i="1" s="1"/>
  <c r="N1279" i="1"/>
  <c r="M1279" i="1"/>
  <c r="O1278" i="1" a="1"/>
  <c r="O1278" i="1" s="1"/>
  <c r="N1278" i="1"/>
  <c r="M1278" i="1"/>
  <c r="O1277" i="1"/>
  <c r="O1277" i="1" a="1"/>
  <c r="N1277" i="1"/>
  <c r="M1277" i="1"/>
  <c r="O1276" i="1" a="1"/>
  <c r="O1276" i="1" s="1"/>
  <c r="N1276" i="1"/>
  <c r="M1276" i="1"/>
  <c r="O1275" i="1" a="1"/>
  <c r="O1275" i="1" s="1"/>
  <c r="N1275" i="1"/>
  <c r="M1275" i="1"/>
  <c r="O1274" i="1" a="1"/>
  <c r="O1274" i="1" s="1"/>
  <c r="N1274" i="1"/>
  <c r="M1274" i="1"/>
  <c r="O1273" i="1" a="1"/>
  <c r="O1273" i="1" s="1"/>
  <c r="N1273" i="1"/>
  <c r="M1273" i="1"/>
  <c r="O1272" i="1"/>
  <c r="O1272" i="1" a="1"/>
  <c r="N1272" i="1"/>
  <c r="M1272" i="1"/>
  <c r="O1271" i="1" a="1"/>
  <c r="O1271" i="1" s="1"/>
  <c r="N1271" i="1"/>
  <c r="M1271" i="1"/>
  <c r="O1270" i="1" a="1"/>
  <c r="O1270" i="1" s="1"/>
  <c r="N1270" i="1"/>
  <c r="M1270" i="1"/>
  <c r="O1269" i="1" a="1"/>
  <c r="O1269" i="1" s="1"/>
  <c r="N1269" i="1"/>
  <c r="M1269" i="1"/>
  <c r="O1268" i="1" a="1"/>
  <c r="O1268" i="1" s="1"/>
  <c r="N1268" i="1"/>
  <c r="M1268" i="1"/>
  <c r="O1267" i="1" a="1"/>
  <c r="O1267" i="1" s="1"/>
  <c r="N1267" i="1"/>
  <c r="M1267" i="1"/>
  <c r="O1266" i="1" a="1"/>
  <c r="O1266" i="1" s="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a="1"/>
  <c r="O1260" i="1" s="1"/>
  <c r="N1260" i="1"/>
  <c r="M1260" i="1"/>
  <c r="O1259" i="1"/>
  <c r="O1259" i="1" a="1"/>
  <c r="N1259" i="1"/>
  <c r="M1259" i="1"/>
  <c r="O1258" i="1" a="1"/>
  <c r="O1258" i="1" s="1"/>
  <c r="N1258" i="1"/>
  <c r="M1258" i="1"/>
  <c r="O1257" i="1" a="1"/>
  <c r="O1257" i="1" s="1"/>
  <c r="N1257" i="1"/>
  <c r="M1257" i="1"/>
  <c r="O1256" i="1" a="1"/>
  <c r="O1256" i="1" s="1"/>
  <c r="N1256" i="1"/>
  <c r="M1256" i="1"/>
  <c r="O1255" i="1" a="1"/>
  <c r="O1255" i="1" s="1"/>
  <c r="N1255" i="1"/>
  <c r="M1255" i="1"/>
  <c r="O1254" i="1" a="1"/>
  <c r="O1254" i="1" s="1"/>
  <c r="N1254" i="1"/>
  <c r="M1254" i="1"/>
  <c r="O1253" i="1" a="1"/>
  <c r="O1253" i="1" s="1"/>
  <c r="N1253" i="1"/>
  <c r="M1253" i="1"/>
  <c r="O1252" i="1" a="1"/>
  <c r="O1252" i="1" s="1"/>
  <c r="N1252" i="1"/>
  <c r="M1252" i="1"/>
  <c r="O1251" i="1" a="1"/>
  <c r="O1251" i="1" s="1"/>
  <c r="N1251" i="1"/>
  <c r="M1251" i="1"/>
  <c r="O1250" i="1"/>
  <c r="O1250" i="1" a="1"/>
  <c r="N1250" i="1"/>
  <c r="M1250" i="1"/>
  <c r="O1249" i="1" a="1"/>
  <c r="O1249" i="1" s="1"/>
  <c r="N1249" i="1"/>
  <c r="M1249" i="1"/>
  <c r="O1248" i="1" a="1"/>
  <c r="O1248" i="1" s="1"/>
  <c r="N1248" i="1"/>
  <c r="M1248" i="1"/>
  <c r="O1247" i="1"/>
  <c r="O1247" i="1" a="1"/>
  <c r="N1247" i="1"/>
  <c r="M1247" i="1"/>
  <c r="O1246" i="1" a="1"/>
  <c r="O1246" i="1" s="1"/>
  <c r="N1246" i="1"/>
  <c r="M1246" i="1"/>
  <c r="O1245" i="1" a="1"/>
  <c r="O1245" i="1" s="1"/>
  <c r="N1245" i="1"/>
  <c r="M1245" i="1"/>
  <c r="O1244" i="1" a="1"/>
  <c r="O1244" i="1" s="1"/>
  <c r="N1244" i="1"/>
  <c r="M1244" i="1"/>
  <c r="O1243" i="1" a="1"/>
  <c r="O1243" i="1" s="1"/>
  <c r="N1243" i="1"/>
  <c r="M1243" i="1"/>
  <c r="O1242" i="1"/>
  <c r="O1242" i="1" a="1"/>
  <c r="N1242" i="1"/>
  <c r="M1242" i="1"/>
  <c r="O1241" i="1" a="1"/>
  <c r="O1241" i="1" s="1"/>
  <c r="N1241" i="1"/>
  <c r="M1241" i="1"/>
  <c r="O1240" i="1" a="1"/>
  <c r="O1240" i="1" s="1"/>
  <c r="N1240" i="1"/>
  <c r="M1240" i="1"/>
  <c r="O1239" i="1" a="1"/>
  <c r="O1239" i="1" s="1"/>
  <c r="N1239" i="1"/>
  <c r="M1239" i="1"/>
  <c r="O1238" i="1" a="1"/>
  <c r="O1238" i="1" s="1"/>
  <c r="N1238" i="1"/>
  <c r="M1238" i="1"/>
  <c r="O1237" i="1" a="1"/>
  <c r="O1237" i="1" s="1"/>
  <c r="N1237" i="1"/>
  <c r="M1237" i="1"/>
  <c r="O1236" i="1"/>
  <c r="O1236" i="1" a="1"/>
  <c r="N1236" i="1"/>
  <c r="M1236" i="1"/>
  <c r="O1235" i="1" a="1"/>
  <c r="O1235" i="1" s="1"/>
  <c r="N1235" i="1"/>
  <c r="M1235" i="1"/>
  <c r="O1234" i="1" a="1"/>
  <c r="O1234" i="1" s="1"/>
  <c r="N1234" i="1"/>
  <c r="M1234" i="1"/>
  <c r="O1233" i="1" a="1"/>
  <c r="O1233" i="1" s="1"/>
  <c r="N1233" i="1"/>
  <c r="M1233" i="1"/>
  <c r="O1232" i="1"/>
  <c r="O1232" i="1" a="1"/>
  <c r="N1232" i="1"/>
  <c r="M1232" i="1"/>
  <c r="O1231" i="1" a="1"/>
  <c r="O1231" i="1" s="1"/>
  <c r="N1231" i="1"/>
  <c r="M1231" i="1"/>
  <c r="O1230" i="1" a="1"/>
  <c r="O1230" i="1" s="1"/>
  <c r="N1230" i="1"/>
  <c r="M1230" i="1"/>
  <c r="O1229" i="1"/>
  <c r="O1229" i="1" a="1"/>
  <c r="N1229" i="1"/>
  <c r="M1229" i="1"/>
  <c r="O1228" i="1" a="1"/>
  <c r="O1228" i="1" s="1"/>
  <c r="N1228" i="1"/>
  <c r="M1228" i="1"/>
  <c r="O1227" i="1" a="1"/>
  <c r="O1227" i="1" s="1"/>
  <c r="N1227" i="1"/>
  <c r="M1227" i="1"/>
  <c r="O1226" i="1" a="1"/>
  <c r="O1226" i="1" s="1"/>
  <c r="N1226" i="1"/>
  <c r="M1226" i="1"/>
  <c r="O1225" i="1" a="1"/>
  <c r="O1225" i="1" s="1"/>
  <c r="N1225" i="1"/>
  <c r="M1225" i="1"/>
  <c r="O1224" i="1" a="1"/>
  <c r="O1224" i="1" s="1"/>
  <c r="N1224" i="1"/>
  <c r="M1224" i="1"/>
  <c r="O1223" i="1"/>
  <c r="O1223" i="1" a="1"/>
  <c r="N1223" i="1"/>
  <c r="M1223" i="1"/>
  <c r="O1222" i="1"/>
  <c r="O1222" i="1" a="1"/>
  <c r="N1222" i="1"/>
  <c r="M1222" i="1"/>
  <c r="O1221" i="1" a="1"/>
  <c r="O1221" i="1" s="1"/>
  <c r="N1221" i="1"/>
  <c r="M1221" i="1"/>
  <c r="O1220" i="1" a="1"/>
  <c r="O1220" i="1" s="1"/>
  <c r="N1220" i="1"/>
  <c r="M1220" i="1"/>
  <c r="O1219" i="1"/>
  <c r="O1219" i="1" a="1"/>
  <c r="N1219" i="1"/>
  <c r="M1219" i="1"/>
  <c r="O1218" i="1" a="1"/>
  <c r="O1218" i="1" s="1"/>
  <c r="N1218" i="1"/>
  <c r="M1218" i="1"/>
  <c r="O1217" i="1" a="1"/>
  <c r="O1217" i="1" s="1"/>
  <c r="N1217" i="1"/>
  <c r="M1217" i="1"/>
  <c r="O1216" i="1" a="1"/>
  <c r="O1216" i="1" s="1"/>
  <c r="N1216" i="1"/>
  <c r="M1216" i="1"/>
  <c r="O1215" i="1" a="1"/>
  <c r="O1215" i="1" s="1"/>
  <c r="N1215" i="1"/>
  <c r="M1215" i="1"/>
  <c r="O1214" i="1" a="1"/>
  <c r="O1214" i="1" s="1"/>
  <c r="N1214" i="1"/>
  <c r="M1214" i="1"/>
  <c r="O1213" i="1" a="1"/>
  <c r="O1213" i="1" s="1"/>
  <c r="N1213" i="1"/>
  <c r="M1213" i="1"/>
  <c r="O1212" i="1" a="1"/>
  <c r="O1212" i="1" s="1"/>
  <c r="N1212" i="1"/>
  <c r="M1212" i="1"/>
  <c r="O1211" i="1" a="1"/>
  <c r="O1211" i="1" s="1"/>
  <c r="N1211" i="1"/>
  <c r="M1211" i="1"/>
  <c r="O1210" i="1" a="1"/>
  <c r="O1210" i="1" s="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a="1"/>
  <c r="O1204" i="1" s="1"/>
  <c r="N1204" i="1"/>
  <c r="M1204" i="1"/>
  <c r="O1203" i="1" a="1"/>
  <c r="O1203" i="1" s="1"/>
  <c r="N1203" i="1"/>
  <c r="M1203" i="1"/>
  <c r="O1202" i="1"/>
  <c r="O1202" i="1" a="1"/>
  <c r="N1202" i="1"/>
  <c r="M1202" i="1"/>
  <c r="O1201" i="1" a="1"/>
  <c r="O1201" i="1" s="1"/>
  <c r="N1201" i="1"/>
  <c r="M1201" i="1"/>
  <c r="O1200" i="1" a="1"/>
  <c r="O1200" i="1" s="1"/>
  <c r="N1200" i="1"/>
  <c r="M1200" i="1"/>
  <c r="O1199" i="1"/>
  <c r="O1199" i="1" a="1"/>
  <c r="N1199" i="1"/>
  <c r="M1199" i="1"/>
  <c r="O1198" i="1" a="1"/>
  <c r="O1198" i="1" s="1"/>
  <c r="N1198" i="1"/>
  <c r="M1198" i="1"/>
  <c r="O1197" i="1" a="1"/>
  <c r="O1197" i="1" s="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a="1"/>
  <c r="O1190" i="1" s="1"/>
  <c r="N1190" i="1"/>
  <c r="M1190" i="1"/>
  <c r="O1189" i="1"/>
  <c r="O1189" i="1" a="1"/>
  <c r="N1189" i="1"/>
  <c r="M1189" i="1"/>
  <c r="O1188" i="1" a="1"/>
  <c r="O1188" i="1" s="1"/>
  <c r="N1188" i="1"/>
  <c r="M1188" i="1"/>
  <c r="O1187" i="1" a="1"/>
  <c r="O1187" i="1" s="1"/>
  <c r="N1187" i="1"/>
  <c r="M1187" i="1"/>
  <c r="O1186" i="1"/>
  <c r="O1186" i="1" a="1"/>
  <c r="N1186" i="1"/>
  <c r="M1186" i="1"/>
  <c r="O1185" i="1" a="1"/>
  <c r="O1185" i="1" s="1"/>
  <c r="N1185" i="1"/>
  <c r="M1185" i="1"/>
  <c r="O1184" i="1" a="1"/>
  <c r="O1184" i="1" s="1"/>
  <c r="N1184" i="1"/>
  <c r="M1184" i="1"/>
  <c r="O1183" i="1"/>
  <c r="O1183" i="1" a="1"/>
  <c r="N1183" i="1"/>
  <c r="M1183" i="1"/>
  <c r="O1182" i="1" a="1"/>
  <c r="O1182" i="1" s="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a="1"/>
  <c r="O1176" i="1" s="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a="1"/>
  <c r="O1169" i="1" s="1"/>
  <c r="N1169" i="1"/>
  <c r="M1169" i="1"/>
  <c r="O1168" i="1"/>
  <c r="O1168" i="1" a="1"/>
  <c r="N1168" i="1"/>
  <c r="M1168" i="1"/>
  <c r="O1167" i="1" a="1"/>
  <c r="O1167" i="1" s="1"/>
  <c r="N1167" i="1"/>
  <c r="M1167" i="1"/>
  <c r="O1166" i="1"/>
  <c r="O1166" i="1" a="1"/>
  <c r="N1166" i="1"/>
  <c r="M1166" i="1"/>
  <c r="O1165" i="1"/>
  <c r="O1165" i="1" a="1"/>
  <c r="N1165" i="1"/>
  <c r="M1165" i="1"/>
  <c r="O1164" i="1" a="1"/>
  <c r="O1164" i="1" s="1"/>
  <c r="N1164" i="1"/>
  <c r="M1164" i="1"/>
  <c r="O1163" i="1"/>
  <c r="O1163" i="1" a="1"/>
  <c r="N1163" i="1"/>
  <c r="M1163" i="1"/>
  <c r="O1162" i="1" a="1"/>
  <c r="O1162" i="1" s="1"/>
  <c r="N1162" i="1"/>
  <c r="M1162" i="1"/>
  <c r="O1161" i="1" a="1"/>
  <c r="O1161" i="1" s="1"/>
  <c r="N1161" i="1"/>
  <c r="M1161" i="1"/>
  <c r="O1160" i="1"/>
  <c r="O1160" i="1" a="1"/>
  <c r="N1160" i="1"/>
  <c r="M1160" i="1"/>
  <c r="O1159" i="1" a="1"/>
  <c r="O1159" i="1" s="1"/>
  <c r="N1159" i="1"/>
  <c r="M1159" i="1"/>
  <c r="O1158" i="1" a="1"/>
  <c r="O1158" i="1" s="1"/>
  <c r="N1158" i="1"/>
  <c r="M1158" i="1"/>
  <c r="O1157" i="1" a="1"/>
  <c r="O1157" i="1" s="1"/>
  <c r="N1157" i="1"/>
  <c r="M1157" i="1"/>
  <c r="O1156" i="1" a="1"/>
  <c r="O1156" i="1" s="1"/>
  <c r="N1156" i="1"/>
  <c r="M1156" i="1"/>
  <c r="O1155" i="1" a="1"/>
  <c r="O1155" i="1" s="1"/>
  <c r="N1155" i="1"/>
  <c r="M1155" i="1"/>
  <c r="O1154" i="1" a="1"/>
  <c r="O1154" i="1" s="1"/>
  <c r="N1154" i="1"/>
  <c r="M1154" i="1"/>
  <c r="O1153" i="1" a="1"/>
  <c r="O1153" i="1" s="1"/>
  <c r="N1153" i="1"/>
  <c r="M1153" i="1"/>
  <c r="O1152" i="1" a="1"/>
  <c r="O1152" i="1" s="1"/>
  <c r="N1152" i="1"/>
  <c r="M1152" i="1"/>
  <c r="O1151" i="1"/>
  <c r="O1151" i="1" a="1"/>
  <c r="N1151" i="1"/>
  <c r="M1151" i="1"/>
  <c r="O1150" i="1"/>
  <c r="O1150" i="1" a="1"/>
  <c r="N1150" i="1"/>
  <c r="M1150" i="1"/>
  <c r="O1149" i="1" a="1"/>
  <c r="O1149" i="1" s="1"/>
  <c r="N1149" i="1"/>
  <c r="M1149" i="1"/>
  <c r="O1148" i="1" a="1"/>
  <c r="O1148" i="1" s="1"/>
  <c r="N1148" i="1"/>
  <c r="M1148" i="1"/>
  <c r="O1147" i="1"/>
  <c r="O1147" i="1" a="1"/>
  <c r="N1147" i="1"/>
  <c r="M1147" i="1"/>
  <c r="O1146" i="1" a="1"/>
  <c r="O1146" i="1" s="1"/>
  <c r="N1146" i="1"/>
  <c r="M1146" i="1"/>
  <c r="O1145" i="1"/>
  <c r="O1145" i="1" a="1"/>
  <c r="N1145" i="1"/>
  <c r="M1145" i="1"/>
  <c r="O1144" i="1" a="1"/>
  <c r="O1144" i="1" s="1"/>
  <c r="N1144" i="1"/>
  <c r="M1144" i="1"/>
  <c r="O1143" i="1" a="1"/>
  <c r="O1143" i="1" s="1"/>
  <c r="N1143" i="1"/>
  <c r="M1143" i="1"/>
  <c r="O1142" i="1" a="1"/>
  <c r="O1142" i="1" s="1"/>
  <c r="N1142" i="1"/>
  <c r="M1142" i="1"/>
  <c r="O1141" i="1"/>
  <c r="O1141" i="1" a="1"/>
  <c r="N1141" i="1"/>
  <c r="M1141" i="1"/>
  <c r="O1140" i="1" a="1"/>
  <c r="O1140" i="1" s="1"/>
  <c r="N1140" i="1"/>
  <c r="M1140" i="1"/>
  <c r="O1139" i="1" a="1"/>
  <c r="O1139" i="1" s="1"/>
  <c r="N1139" i="1"/>
  <c r="M1139" i="1"/>
  <c r="O1138" i="1"/>
  <c r="O1138" i="1" a="1"/>
  <c r="N1138" i="1"/>
  <c r="M1138" i="1"/>
  <c r="O1137" i="1" a="1"/>
  <c r="O1137" i="1" s="1"/>
  <c r="N1137" i="1"/>
  <c r="M1137" i="1"/>
  <c r="O1136" i="1" a="1"/>
  <c r="O1136" i="1" s="1"/>
  <c r="N1136" i="1"/>
  <c r="M1136" i="1"/>
  <c r="O1135" i="1" a="1"/>
  <c r="O1135" i="1" s="1"/>
  <c r="N1135" i="1"/>
  <c r="M1135" i="1"/>
  <c r="O1134" i="1" a="1"/>
  <c r="O1134" i="1" s="1"/>
  <c r="N1134" i="1"/>
  <c r="M1134" i="1"/>
  <c r="O1133" i="1" a="1"/>
  <c r="O1133" i="1" s="1"/>
  <c r="N1133" i="1"/>
  <c r="M1133" i="1"/>
  <c r="O1132" i="1" a="1"/>
  <c r="O1132" i="1" s="1"/>
  <c r="N1132" i="1"/>
  <c r="M1132" i="1"/>
  <c r="O1131" i="1" a="1"/>
  <c r="O1131" i="1" s="1"/>
  <c r="N1131" i="1"/>
  <c r="M1131" i="1"/>
  <c r="O1130" i="1" a="1"/>
  <c r="O1130" i="1" s="1"/>
  <c r="N1130" i="1"/>
  <c r="M1130" i="1"/>
  <c r="O1129" i="1" a="1"/>
  <c r="O1129" i="1" s="1"/>
  <c r="N1129" i="1"/>
  <c r="M1129" i="1"/>
  <c r="O1128" i="1" a="1"/>
  <c r="O1128" i="1" s="1"/>
  <c r="N1128" i="1"/>
  <c r="M1128" i="1"/>
  <c r="O1127" i="1"/>
  <c r="O1127" i="1" a="1"/>
  <c r="N1127" i="1"/>
  <c r="M1127" i="1"/>
  <c r="O1126" i="1" a="1"/>
  <c r="O1126" i="1" s="1"/>
  <c r="N1126" i="1"/>
  <c r="M1126" i="1"/>
  <c r="O1125" i="1" a="1"/>
  <c r="O1125" i="1" s="1"/>
  <c r="N1125" i="1"/>
  <c r="M1125" i="1"/>
  <c r="O1124" i="1"/>
  <c r="O1124" i="1" a="1"/>
  <c r="N1124" i="1"/>
  <c r="M1124" i="1"/>
  <c r="O1123" i="1" a="1"/>
  <c r="O1123" i="1" s="1"/>
  <c r="N1123" i="1"/>
  <c r="M1123" i="1"/>
  <c r="O1122" i="1" a="1"/>
  <c r="O1122" i="1" s="1"/>
  <c r="N1122" i="1"/>
  <c r="M1122" i="1"/>
  <c r="O1121" i="1" a="1"/>
  <c r="O1121" i="1" s="1"/>
  <c r="N1121" i="1"/>
  <c r="M1121" i="1"/>
  <c r="O1120" i="1" a="1"/>
  <c r="O1120" i="1" s="1"/>
  <c r="N1120" i="1"/>
  <c r="M1120" i="1"/>
  <c r="O1119" i="1" a="1"/>
  <c r="O1119" i="1" s="1"/>
  <c r="N1119" i="1"/>
  <c r="M1119" i="1"/>
  <c r="O1118" i="1" a="1"/>
  <c r="O1118" i="1" s="1"/>
  <c r="N1118" i="1"/>
  <c r="M1118" i="1"/>
  <c r="O1117" i="1" a="1"/>
  <c r="O1117" i="1" s="1"/>
  <c r="N1117" i="1"/>
  <c r="M1117" i="1"/>
  <c r="O1116" i="1" a="1"/>
  <c r="O1116" i="1" s="1"/>
  <c r="N1116" i="1"/>
  <c r="M1116" i="1"/>
  <c r="O1115" i="1" a="1"/>
  <c r="O1115" i="1" s="1"/>
  <c r="N1115" i="1"/>
  <c r="M1115" i="1"/>
  <c r="O1114" i="1"/>
  <c r="O1114" i="1" a="1"/>
  <c r="N1114" i="1"/>
  <c r="M1114" i="1"/>
  <c r="O1113" i="1" a="1"/>
  <c r="O1113" i="1" s="1"/>
  <c r="N1113" i="1"/>
  <c r="M1113" i="1"/>
  <c r="O1112" i="1" a="1"/>
  <c r="O1112" i="1" s="1"/>
  <c r="N1112" i="1"/>
  <c r="M1112" i="1"/>
  <c r="O1111" i="1"/>
  <c r="O1111" i="1" a="1"/>
  <c r="N1111" i="1"/>
  <c r="M1111" i="1"/>
  <c r="O1110" i="1" a="1"/>
  <c r="O1110" i="1" s="1"/>
  <c r="N1110" i="1"/>
  <c r="M1110" i="1"/>
  <c r="O1109" i="1" a="1"/>
  <c r="O1109" i="1" s="1"/>
  <c r="N1109" i="1"/>
  <c r="M1109" i="1"/>
  <c r="O1108" i="1" a="1"/>
  <c r="O1108" i="1" s="1"/>
  <c r="N1108" i="1"/>
  <c r="M1108" i="1"/>
  <c r="O1107" i="1" a="1"/>
  <c r="O1107" i="1" s="1"/>
  <c r="N1107" i="1"/>
  <c r="M1107" i="1"/>
  <c r="O1106" i="1" a="1"/>
  <c r="O1106" i="1" s="1"/>
  <c r="N1106" i="1"/>
  <c r="M1106" i="1"/>
  <c r="O1105" i="1" a="1"/>
  <c r="O1105" i="1" s="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a="1"/>
  <c r="O1099" i="1" s="1"/>
  <c r="N1099" i="1"/>
  <c r="M1099" i="1"/>
  <c r="O1098" i="1" a="1"/>
  <c r="O1098" i="1" s="1"/>
  <c r="N1098" i="1"/>
  <c r="M1098" i="1"/>
  <c r="O1097" i="1" a="1"/>
  <c r="O1097" i="1" s="1"/>
  <c r="N1097" i="1"/>
  <c r="M1097" i="1"/>
  <c r="O1096" i="1" a="1"/>
  <c r="O1096" i="1" s="1"/>
  <c r="N1096" i="1"/>
  <c r="M1096" i="1"/>
  <c r="O1095" i="1" a="1"/>
  <c r="O1095" i="1" s="1"/>
  <c r="N1095" i="1"/>
  <c r="M1095" i="1"/>
  <c r="O1094" i="1"/>
  <c r="O1094" i="1" a="1"/>
  <c r="N1094" i="1"/>
  <c r="M1094" i="1"/>
  <c r="O1093" i="1"/>
  <c r="O1093" i="1" a="1"/>
  <c r="N1093" i="1"/>
  <c r="M1093" i="1"/>
  <c r="O1092" i="1" a="1"/>
  <c r="O1092" i="1" s="1"/>
  <c r="N1092" i="1"/>
  <c r="M1092" i="1"/>
  <c r="O1091" i="1" a="1"/>
  <c r="O1091" i="1" s="1"/>
  <c r="N1091" i="1"/>
  <c r="M1091" i="1"/>
  <c r="O1090" i="1"/>
  <c r="O1090" i="1" a="1"/>
  <c r="N1090" i="1"/>
  <c r="M1090" i="1"/>
  <c r="O1089" i="1" a="1"/>
  <c r="O1089" i="1" s="1"/>
  <c r="N1089" i="1"/>
  <c r="M1089" i="1"/>
  <c r="O1088" i="1" a="1"/>
  <c r="O1088" i="1" s="1"/>
  <c r="N1088" i="1"/>
  <c r="M1088" i="1"/>
  <c r="O1087" i="1" a="1"/>
  <c r="O1087" i="1" s="1"/>
  <c r="N1087" i="1"/>
  <c r="M1087" i="1"/>
  <c r="O1086" i="1" a="1"/>
  <c r="O1086" i="1" s="1"/>
  <c r="N1086" i="1"/>
  <c r="M1086" i="1"/>
  <c r="O1085" i="1" a="1"/>
  <c r="O1085" i="1" s="1"/>
  <c r="N1085" i="1"/>
  <c r="M1085" i="1"/>
  <c r="O1084" i="1" a="1"/>
  <c r="O1084" i="1" s="1"/>
  <c r="N1084" i="1"/>
  <c r="M1084" i="1"/>
  <c r="O1083" i="1" a="1"/>
  <c r="O1083" i="1" s="1"/>
  <c r="N1083" i="1"/>
  <c r="M1083" i="1"/>
  <c r="O1082" i="1" a="1"/>
  <c r="O1082" i="1" s="1"/>
  <c r="N1082" i="1"/>
  <c r="M1082" i="1"/>
  <c r="O1081" i="1" a="1"/>
  <c r="O1081" i="1" s="1"/>
  <c r="N1081" i="1"/>
  <c r="M1081" i="1"/>
  <c r="O1080" i="1"/>
  <c r="O1080" i="1" a="1"/>
  <c r="N1080" i="1"/>
  <c r="M1080" i="1"/>
  <c r="O1079" i="1" a="1"/>
  <c r="O1079" i="1" s="1"/>
  <c r="N1079" i="1"/>
  <c r="M1079" i="1"/>
  <c r="O1078" i="1" a="1"/>
  <c r="O1078" i="1" s="1"/>
  <c r="N1078" i="1"/>
  <c r="M1078" i="1"/>
  <c r="O1077" i="1"/>
  <c r="O1077" i="1" a="1"/>
  <c r="N1077" i="1"/>
  <c r="M1077" i="1"/>
  <c r="O1076" i="1" a="1"/>
  <c r="O1076" i="1" s="1"/>
  <c r="N1076" i="1"/>
  <c r="M1076" i="1"/>
  <c r="O1075" i="1" a="1"/>
  <c r="O1075" i="1" s="1"/>
  <c r="N1075" i="1"/>
  <c r="M1075" i="1"/>
  <c r="O1074" i="1" a="1"/>
  <c r="O1074" i="1" s="1"/>
  <c r="N1074" i="1"/>
  <c r="M1074" i="1"/>
  <c r="O1073" i="1" a="1"/>
  <c r="O1073" i="1" s="1"/>
  <c r="N1073" i="1"/>
  <c r="M1073" i="1"/>
  <c r="O1072" i="1" a="1"/>
  <c r="O1072" i="1" s="1"/>
  <c r="N1072" i="1"/>
  <c r="M1072" i="1"/>
  <c r="O1071" i="1" a="1"/>
  <c r="O1071" i="1" s="1"/>
  <c r="N1071" i="1"/>
  <c r="M1071" i="1"/>
  <c r="O1070" i="1" a="1"/>
  <c r="O1070" i="1" s="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a="1"/>
  <c r="O1064" i="1" s="1"/>
  <c r="N1064" i="1"/>
  <c r="M1064" i="1"/>
  <c r="O1063" i="1" a="1"/>
  <c r="O1063" i="1" s="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c r="O1057" i="1" a="1"/>
  <c r="N1057" i="1"/>
  <c r="M1057" i="1"/>
  <c r="O1056" i="1" a="1"/>
  <c r="O1056" i="1" s="1"/>
  <c r="N1056" i="1"/>
  <c r="M1056" i="1"/>
  <c r="O1055" i="1" a="1"/>
  <c r="O1055" i="1" s="1"/>
  <c r="N1055" i="1"/>
  <c r="M1055" i="1"/>
  <c r="O1054" i="1"/>
  <c r="O1054" i="1" a="1"/>
  <c r="N1054" i="1"/>
  <c r="M1054" i="1"/>
  <c r="O1053" i="1" a="1"/>
  <c r="O1053" i="1" s="1"/>
  <c r="N1053" i="1"/>
  <c r="M1053" i="1"/>
  <c r="O1052" i="1" a="1"/>
  <c r="O1052" i="1" s="1"/>
  <c r="N1052" i="1"/>
  <c r="M1052" i="1"/>
  <c r="O1051" i="1"/>
  <c r="O1051" i="1" a="1"/>
  <c r="N1051" i="1"/>
  <c r="M1051" i="1"/>
  <c r="O1050" i="1" a="1"/>
  <c r="O1050" i="1" s="1"/>
  <c r="N1050" i="1"/>
  <c r="M1050" i="1"/>
  <c r="O1049" i="1" a="1"/>
  <c r="O1049" i="1" s="1"/>
  <c r="N1049" i="1"/>
  <c r="M1049" i="1"/>
  <c r="O1048" i="1" a="1"/>
  <c r="O1048" i="1" s="1"/>
  <c r="N1048" i="1"/>
  <c r="M1048" i="1"/>
  <c r="O1047" i="1" a="1"/>
  <c r="O1047" i="1" s="1"/>
  <c r="N1047" i="1"/>
  <c r="M1047" i="1"/>
  <c r="O1046" i="1" a="1"/>
  <c r="O1046" i="1" s="1"/>
  <c r="N1046" i="1"/>
  <c r="M1046" i="1"/>
  <c r="O1045" i="1" a="1"/>
  <c r="O1045" i="1" s="1"/>
  <c r="N1045" i="1"/>
  <c r="M1045" i="1"/>
  <c r="O1044" i="1"/>
  <c r="O1044" i="1" a="1"/>
  <c r="N1044" i="1"/>
  <c r="M1044" i="1"/>
  <c r="O1043" i="1" a="1"/>
  <c r="O1043" i="1" s="1"/>
  <c r="N1043" i="1"/>
  <c r="M1043" i="1"/>
  <c r="O1042" i="1" a="1"/>
  <c r="O1042" i="1" s="1"/>
  <c r="N1042" i="1"/>
  <c r="M1042" i="1"/>
  <c r="O1041" i="1"/>
  <c r="O1041" i="1" a="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a="1"/>
  <c r="O1035" i="1" s="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a="1"/>
  <c r="O1028" i="1" s="1"/>
  <c r="N1028" i="1"/>
  <c r="M1028" i="1"/>
  <c r="O1027" i="1" a="1"/>
  <c r="O1027" i="1" s="1"/>
  <c r="N1027" i="1"/>
  <c r="M1027" i="1"/>
  <c r="O1026" i="1" a="1"/>
  <c r="O1026" i="1" s="1"/>
  <c r="N1026" i="1"/>
  <c r="M1026" i="1"/>
  <c r="O1025" i="1" a="1"/>
  <c r="O1025" i="1" s="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c r="O1018" i="1" a="1"/>
  <c r="N1018" i="1"/>
  <c r="M1018" i="1"/>
  <c r="O1017" i="1" a="1"/>
  <c r="O1017" i="1" s="1"/>
  <c r="N1017" i="1"/>
  <c r="M1017" i="1"/>
  <c r="O1016" i="1" a="1"/>
  <c r="O1016" i="1" s="1"/>
  <c r="N1016" i="1"/>
  <c r="M1016" i="1"/>
  <c r="O1015" i="1" a="1"/>
  <c r="O1015" i="1" s="1"/>
  <c r="N1015" i="1"/>
  <c r="M1015" i="1"/>
  <c r="O1014" i="1" a="1"/>
  <c r="O1014" i="1" s="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c r="O1008" i="1" a="1"/>
  <c r="N1008" i="1"/>
  <c r="M1008" i="1"/>
  <c r="O1007" i="1" a="1"/>
  <c r="O1007" i="1" s="1"/>
  <c r="N1007" i="1"/>
  <c r="M1007" i="1"/>
  <c r="O1006" i="1" a="1"/>
  <c r="O1006" i="1" s="1"/>
  <c r="N1006" i="1"/>
  <c r="M1006" i="1"/>
  <c r="O1005" i="1"/>
  <c r="O1005" i="1" a="1"/>
  <c r="N1005" i="1"/>
  <c r="M1005" i="1"/>
  <c r="O1004" i="1" a="1"/>
  <c r="O1004" i="1" s="1"/>
  <c r="N1004" i="1"/>
  <c r="M1004" i="1"/>
  <c r="O1003" i="1" a="1"/>
  <c r="O1003" i="1" s="1"/>
  <c r="N1003" i="1"/>
  <c r="M1003" i="1"/>
  <c r="O1002" i="1" a="1"/>
  <c r="O1002" i="1" s="1"/>
  <c r="N1002" i="1"/>
  <c r="M1002" i="1"/>
  <c r="O1001" i="1" a="1"/>
  <c r="O1001" i="1" s="1"/>
  <c r="N1001" i="1"/>
  <c r="M1001" i="1"/>
  <c r="O1000" i="1" a="1"/>
  <c r="O1000" i="1" s="1"/>
  <c r="N1000" i="1"/>
  <c r="M1000" i="1"/>
  <c r="O999" i="1" a="1"/>
  <c r="O999" i="1" s="1"/>
  <c r="N999" i="1"/>
  <c r="M999" i="1"/>
  <c r="O998" i="1" a="1"/>
  <c r="O998" i="1" s="1"/>
  <c r="N998" i="1"/>
  <c r="M998" i="1"/>
  <c r="O997" i="1" a="1"/>
  <c r="O997" i="1" s="1"/>
  <c r="N997" i="1"/>
  <c r="M997" i="1"/>
  <c r="O996" i="1" a="1"/>
  <c r="O996" i="1" s="1"/>
  <c r="N996" i="1"/>
  <c r="M996" i="1"/>
  <c r="O995" i="1" a="1"/>
  <c r="O995" i="1" s="1"/>
  <c r="N995" i="1"/>
  <c r="M995" i="1"/>
  <c r="O994" i="1" a="1"/>
  <c r="O994" i="1" s="1"/>
  <c r="N994" i="1"/>
  <c r="M994" i="1"/>
  <c r="O993" i="1" a="1"/>
  <c r="O993" i="1" s="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a="1"/>
  <c r="O986" i="1" s="1"/>
  <c r="N986" i="1"/>
  <c r="M986" i="1"/>
  <c r="O985" i="1"/>
  <c r="O985" i="1" a="1"/>
  <c r="N985" i="1"/>
  <c r="M985" i="1"/>
  <c r="O984" i="1" a="1"/>
  <c r="O984" i="1" s="1"/>
  <c r="N984" i="1"/>
  <c r="M984" i="1"/>
  <c r="O983" i="1" a="1"/>
  <c r="O983" i="1" s="1"/>
  <c r="N983" i="1"/>
  <c r="M983" i="1"/>
  <c r="O982" i="1"/>
  <c r="O982" i="1" a="1"/>
  <c r="N982" i="1"/>
  <c r="M982" i="1"/>
  <c r="O981" i="1" a="1"/>
  <c r="O981" i="1" s="1"/>
  <c r="N981" i="1"/>
  <c r="M981" i="1"/>
  <c r="O980" i="1" a="1"/>
  <c r="O980" i="1" s="1"/>
  <c r="N980" i="1"/>
  <c r="M980" i="1"/>
  <c r="O979" i="1"/>
  <c r="O979" i="1" a="1"/>
  <c r="N979" i="1"/>
  <c r="M979" i="1"/>
  <c r="O978" i="1" a="1"/>
  <c r="O978" i="1" s="1"/>
  <c r="N978" i="1"/>
  <c r="M978" i="1"/>
  <c r="O977" i="1" a="1"/>
  <c r="O977" i="1" s="1"/>
  <c r="N977" i="1"/>
  <c r="M977" i="1"/>
  <c r="O976" i="1" a="1"/>
  <c r="O976" i="1" s="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c r="O969" i="1" a="1"/>
  <c r="N969" i="1"/>
  <c r="M969" i="1"/>
  <c r="O968" i="1" a="1"/>
  <c r="O968" i="1" s="1"/>
  <c r="N968" i="1"/>
  <c r="M968" i="1"/>
  <c r="O967" i="1" a="1"/>
  <c r="O967" i="1" s="1"/>
  <c r="N967" i="1"/>
  <c r="M967" i="1"/>
  <c r="O966" i="1" a="1"/>
  <c r="O966" i="1" s="1"/>
  <c r="N966" i="1"/>
  <c r="M966" i="1"/>
  <c r="O965" i="1" a="1"/>
  <c r="O965" i="1" s="1"/>
  <c r="N965" i="1"/>
  <c r="M965" i="1"/>
  <c r="O964" i="1" a="1"/>
  <c r="O964" i="1" s="1"/>
  <c r="N964" i="1"/>
  <c r="M964" i="1"/>
  <c r="O963" i="1" a="1"/>
  <c r="O963" i="1" s="1"/>
  <c r="N963" i="1"/>
  <c r="M963" i="1"/>
  <c r="O962" i="1" a="1"/>
  <c r="O962" i="1" s="1"/>
  <c r="N962" i="1"/>
  <c r="M962" i="1"/>
  <c r="O961" i="1" a="1"/>
  <c r="O961" i="1" s="1"/>
  <c r="N961" i="1"/>
  <c r="M961" i="1"/>
  <c r="O960" i="1" a="1"/>
  <c r="O960" i="1" s="1"/>
  <c r="N960" i="1"/>
  <c r="M960" i="1"/>
  <c r="O959" i="1" a="1"/>
  <c r="O959" i="1" s="1"/>
  <c r="N959" i="1"/>
  <c r="M959" i="1"/>
  <c r="O958" i="1" a="1"/>
  <c r="O958" i="1" s="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a="1"/>
  <c r="O951" i="1" s="1"/>
  <c r="N951" i="1"/>
  <c r="M951" i="1"/>
  <c r="O950" i="1" a="1"/>
  <c r="O950" i="1" s="1"/>
  <c r="N950" i="1"/>
  <c r="M950" i="1"/>
  <c r="O949" i="1"/>
  <c r="O949" i="1" a="1"/>
  <c r="N949" i="1"/>
  <c r="M949" i="1"/>
  <c r="O948" i="1" a="1"/>
  <c r="O948" i="1" s="1"/>
  <c r="N948" i="1"/>
  <c r="M948" i="1"/>
  <c r="O947" i="1" a="1"/>
  <c r="O947" i="1" s="1"/>
  <c r="N947" i="1"/>
  <c r="M947" i="1"/>
  <c r="O946" i="1"/>
  <c r="O946" i="1" a="1"/>
  <c r="N946" i="1"/>
  <c r="M946" i="1"/>
  <c r="O945" i="1" a="1"/>
  <c r="O945" i="1" s="1"/>
  <c r="N945" i="1"/>
  <c r="M945" i="1"/>
  <c r="O944" i="1" a="1"/>
  <c r="O944" i="1" s="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a="1"/>
  <c r="O937" i="1" s="1"/>
  <c r="N937" i="1"/>
  <c r="M937" i="1"/>
  <c r="O936" i="1"/>
  <c r="O936" i="1" a="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a="1"/>
  <c r="O930" i="1" s="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a="1"/>
  <c r="O916" i="1" s="1"/>
  <c r="N916" i="1"/>
  <c r="M916" i="1"/>
  <c r="O915" i="1" a="1"/>
  <c r="O915" i="1" s="1"/>
  <c r="N915" i="1"/>
  <c r="M915" i="1"/>
  <c r="O914" i="1" a="1"/>
  <c r="O914" i="1" s="1"/>
  <c r="N914" i="1"/>
  <c r="M914" i="1"/>
  <c r="O913" i="1"/>
  <c r="O913" i="1" a="1"/>
  <c r="N913" i="1"/>
  <c r="M913" i="1"/>
  <c r="O912" i="1" a="1"/>
  <c r="O912" i="1" s="1"/>
  <c r="N912" i="1"/>
  <c r="M912" i="1"/>
  <c r="O911" i="1" a="1"/>
  <c r="O911" i="1" s="1"/>
  <c r="N911" i="1"/>
  <c r="M911" i="1"/>
  <c r="O910" i="1"/>
  <c r="O910" i="1" a="1"/>
  <c r="N910" i="1"/>
  <c r="M910" i="1"/>
  <c r="O909" i="1" a="1"/>
  <c r="O909" i="1" s="1"/>
  <c r="N909" i="1"/>
  <c r="M909" i="1"/>
  <c r="O908" i="1" a="1"/>
  <c r="O908" i="1" s="1"/>
  <c r="N908" i="1"/>
  <c r="M908" i="1"/>
  <c r="O907" i="1"/>
  <c r="O907" i="1" a="1"/>
  <c r="N907" i="1"/>
  <c r="M907" i="1"/>
  <c r="O906" i="1" a="1"/>
  <c r="O906" i="1" s="1"/>
  <c r="N906" i="1"/>
  <c r="M906" i="1"/>
  <c r="O905" i="1" a="1"/>
  <c r="O905" i="1" s="1"/>
  <c r="N905" i="1"/>
  <c r="M905" i="1"/>
  <c r="O904" i="1" a="1"/>
  <c r="O904" i="1" s="1"/>
  <c r="N904" i="1"/>
  <c r="M904" i="1"/>
  <c r="O903" i="1" a="1"/>
  <c r="O903" i="1" s="1"/>
  <c r="N903" i="1"/>
  <c r="M903" i="1"/>
  <c r="O902" i="1" a="1"/>
  <c r="O902" i="1" s="1"/>
  <c r="N902" i="1"/>
  <c r="M902" i="1"/>
  <c r="O901" i="1" a="1"/>
  <c r="O901" i="1" s="1"/>
  <c r="N901" i="1"/>
  <c r="M901" i="1"/>
  <c r="O900" i="1"/>
  <c r="O900" i="1" a="1"/>
  <c r="N900" i="1"/>
  <c r="M900" i="1"/>
  <c r="O899" i="1" a="1"/>
  <c r="O899" i="1" s="1"/>
  <c r="N899" i="1"/>
  <c r="M899" i="1"/>
  <c r="O898" i="1" a="1"/>
  <c r="O898" i="1" s="1"/>
  <c r="N898" i="1"/>
  <c r="M898" i="1"/>
  <c r="O897" i="1"/>
  <c r="O897" i="1" a="1"/>
  <c r="N897" i="1"/>
  <c r="M897" i="1"/>
  <c r="O896" i="1" a="1"/>
  <c r="O896" i="1" s="1"/>
  <c r="N896" i="1"/>
  <c r="M896" i="1"/>
  <c r="O895" i="1" a="1"/>
  <c r="O895" i="1" s="1"/>
  <c r="N895" i="1"/>
  <c r="M895" i="1"/>
  <c r="O894" i="1" a="1"/>
  <c r="O894" i="1" s="1"/>
  <c r="N894" i="1"/>
  <c r="M894" i="1"/>
  <c r="O893" i="1" a="1"/>
  <c r="O893" i="1" s="1"/>
  <c r="N893" i="1"/>
  <c r="M893" i="1"/>
  <c r="O892" i="1" a="1"/>
  <c r="O892" i="1" s="1"/>
  <c r="N892" i="1"/>
  <c r="M892" i="1"/>
  <c r="O891" i="1" a="1"/>
  <c r="O891" i="1" s="1"/>
  <c r="N891" i="1"/>
  <c r="M891" i="1"/>
  <c r="O890" i="1" a="1"/>
  <c r="O890" i="1" s="1"/>
  <c r="N890" i="1"/>
  <c r="M890" i="1"/>
  <c r="O889" i="1" a="1"/>
  <c r="O889" i="1" s="1"/>
  <c r="N889" i="1"/>
  <c r="M889" i="1"/>
  <c r="O888" i="1" a="1"/>
  <c r="O888" i="1" s="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a="1"/>
  <c r="O881" i="1" s="1"/>
  <c r="N881" i="1"/>
  <c r="M881" i="1"/>
  <c r="O880" i="1" a="1"/>
  <c r="O880" i="1" s="1"/>
  <c r="N880" i="1"/>
  <c r="M880" i="1"/>
  <c r="O879" i="1" a="1"/>
  <c r="O879" i="1" s="1"/>
  <c r="N879" i="1"/>
  <c r="M879" i="1"/>
  <c r="O878" i="1" a="1"/>
  <c r="O878" i="1" s="1"/>
  <c r="N878" i="1"/>
  <c r="M878" i="1"/>
  <c r="O877" i="1"/>
  <c r="O877" i="1" a="1"/>
  <c r="N877" i="1"/>
  <c r="M877" i="1"/>
  <c r="O876" i="1" a="1"/>
  <c r="O876" i="1" s="1"/>
  <c r="N876" i="1"/>
  <c r="M876" i="1"/>
  <c r="O875" i="1" a="1"/>
  <c r="O875" i="1" s="1"/>
  <c r="N875" i="1"/>
  <c r="M875" i="1"/>
  <c r="O874" i="1"/>
  <c r="O874" i="1" a="1"/>
  <c r="N874" i="1"/>
  <c r="M874" i="1"/>
  <c r="O873" i="1" a="1"/>
  <c r="O873" i="1" s="1"/>
  <c r="N873" i="1"/>
  <c r="M873" i="1"/>
  <c r="O872" i="1" a="1"/>
  <c r="O872" i="1" s="1"/>
  <c r="N872" i="1"/>
  <c r="M872" i="1"/>
  <c r="O871" i="1" a="1"/>
  <c r="O871" i="1" s="1"/>
  <c r="N871" i="1"/>
  <c r="M871" i="1"/>
  <c r="O870" i="1" a="1"/>
  <c r="O870" i="1" s="1"/>
  <c r="N870" i="1"/>
  <c r="M870" i="1"/>
  <c r="O869" i="1" a="1"/>
  <c r="O869" i="1" s="1"/>
  <c r="N869" i="1"/>
  <c r="M869" i="1"/>
  <c r="O868" i="1" a="1"/>
  <c r="O868" i="1" s="1"/>
  <c r="N868" i="1"/>
  <c r="M868" i="1"/>
  <c r="O867" i="1" a="1"/>
  <c r="O867" i="1" s="1"/>
  <c r="N867" i="1"/>
  <c r="M867" i="1"/>
  <c r="O866" i="1" a="1"/>
  <c r="O866" i="1" s="1"/>
  <c r="N866" i="1"/>
  <c r="M866" i="1"/>
  <c r="O865" i="1" a="1"/>
  <c r="O865" i="1" s="1"/>
  <c r="N865" i="1"/>
  <c r="M865" i="1"/>
  <c r="O864" i="1"/>
  <c r="O864" i="1" a="1"/>
  <c r="N864" i="1"/>
  <c r="M864" i="1"/>
  <c r="O863" i="1" a="1"/>
  <c r="O863" i="1" s="1"/>
  <c r="N863" i="1"/>
  <c r="M863" i="1"/>
  <c r="O862" i="1" a="1"/>
  <c r="O862" i="1" s="1"/>
  <c r="N862" i="1"/>
  <c r="M862" i="1"/>
  <c r="O861" i="1"/>
  <c r="O861" i="1" a="1"/>
  <c r="N861" i="1"/>
  <c r="M861" i="1"/>
  <c r="O860" i="1" a="1"/>
  <c r="O860" i="1" s="1"/>
  <c r="N860" i="1"/>
  <c r="M860" i="1"/>
  <c r="O859" i="1" a="1"/>
  <c r="O859" i="1" s="1"/>
  <c r="N859" i="1"/>
  <c r="M859" i="1"/>
  <c r="O858" i="1" a="1"/>
  <c r="O858" i="1" s="1"/>
  <c r="N858" i="1"/>
  <c r="M858" i="1"/>
  <c r="O857" i="1" a="1"/>
  <c r="O857" i="1" s="1"/>
  <c r="N857" i="1"/>
  <c r="M857" i="1"/>
  <c r="O856" i="1" a="1"/>
  <c r="O856" i="1" s="1"/>
  <c r="N856" i="1"/>
  <c r="M856" i="1"/>
  <c r="O855" i="1" a="1"/>
  <c r="O855" i="1" s="1"/>
  <c r="N855" i="1"/>
  <c r="M855" i="1"/>
  <c r="O854" i="1" a="1"/>
  <c r="O854" i="1" s="1"/>
  <c r="N854" i="1"/>
  <c r="M854" i="1"/>
  <c r="O853" i="1" a="1"/>
  <c r="O853" i="1" s="1"/>
  <c r="N853" i="1"/>
  <c r="M853" i="1"/>
  <c r="O852" i="1" a="1"/>
  <c r="O852" i="1" s="1"/>
  <c r="N852" i="1"/>
  <c r="M852" i="1"/>
  <c r="O851" i="1" a="1"/>
  <c r="O851" i="1" s="1"/>
  <c r="N851" i="1"/>
  <c r="M851" i="1"/>
  <c r="O850" i="1" a="1"/>
  <c r="O850" i="1" s="1"/>
  <c r="N850" i="1"/>
  <c r="M850" i="1"/>
  <c r="O849" i="1" a="1"/>
  <c r="O849" i="1" s="1"/>
  <c r="N849" i="1"/>
  <c r="M849" i="1"/>
  <c r="O848" i="1" a="1"/>
  <c r="O848" i="1" s="1"/>
  <c r="N848" i="1"/>
  <c r="M848" i="1"/>
  <c r="O847" i="1" a="1"/>
  <c r="O847" i="1" s="1"/>
  <c r="N847" i="1"/>
  <c r="M847" i="1"/>
  <c r="O846" i="1" a="1"/>
  <c r="O846" i="1" s="1"/>
  <c r="N846" i="1"/>
  <c r="M846" i="1"/>
  <c r="O845" i="1" a="1"/>
  <c r="O845" i="1" s="1"/>
  <c r="N845" i="1"/>
  <c r="M845" i="1"/>
  <c r="O844" i="1" a="1"/>
  <c r="O844" i="1" s="1"/>
  <c r="N844" i="1"/>
  <c r="M844" i="1"/>
  <c r="O843" i="1" a="1"/>
  <c r="O843" i="1" s="1"/>
  <c r="N843" i="1"/>
  <c r="M843" i="1"/>
  <c r="O842" i="1" a="1"/>
  <c r="O842" i="1" s="1"/>
  <c r="N842" i="1"/>
  <c r="M842" i="1"/>
  <c r="O841" i="1"/>
  <c r="O841" i="1" a="1"/>
  <c r="N841" i="1"/>
  <c r="M841" i="1"/>
  <c r="O840" i="1" a="1"/>
  <c r="O840" i="1" s="1"/>
  <c r="N840" i="1"/>
  <c r="M840" i="1"/>
  <c r="O839" i="1" a="1"/>
  <c r="O839" i="1" s="1"/>
  <c r="N839" i="1"/>
  <c r="M839" i="1"/>
  <c r="O838" i="1"/>
  <c r="O838" i="1" a="1"/>
  <c r="N838" i="1"/>
  <c r="M838" i="1"/>
  <c r="O837" i="1" a="1"/>
  <c r="O837" i="1" s="1"/>
  <c r="N837" i="1"/>
  <c r="M837" i="1"/>
  <c r="O836" i="1" a="1"/>
  <c r="O836" i="1" s="1"/>
  <c r="N836" i="1"/>
  <c r="M836" i="1"/>
  <c r="O835" i="1"/>
  <c r="O835" i="1" a="1"/>
  <c r="N835" i="1"/>
  <c r="M835" i="1"/>
  <c r="O834" i="1" a="1"/>
  <c r="O834" i="1" s="1"/>
  <c r="N834" i="1"/>
  <c r="M834" i="1"/>
  <c r="O833" i="1" a="1"/>
  <c r="O833" i="1" s="1"/>
  <c r="N833" i="1"/>
  <c r="M833" i="1"/>
  <c r="O832" i="1" a="1"/>
  <c r="O832" i="1" s="1"/>
  <c r="N832" i="1"/>
  <c r="M832" i="1"/>
  <c r="O831" i="1" a="1"/>
  <c r="O831" i="1" s="1"/>
  <c r="N831" i="1"/>
  <c r="M831" i="1"/>
  <c r="O830" i="1" a="1"/>
  <c r="O830" i="1" s="1"/>
  <c r="N830" i="1"/>
  <c r="M830" i="1"/>
  <c r="O829" i="1" a="1"/>
  <c r="O829" i="1" s="1"/>
  <c r="N829" i="1"/>
  <c r="M829" i="1"/>
  <c r="O828" i="1"/>
  <c r="O828" i="1" a="1"/>
  <c r="N828" i="1"/>
  <c r="M828" i="1"/>
  <c r="O827" i="1" a="1"/>
  <c r="O827" i="1" s="1"/>
  <c r="N827" i="1"/>
  <c r="M827" i="1"/>
  <c r="O826" i="1" a="1"/>
  <c r="O826" i="1" s="1"/>
  <c r="N826" i="1"/>
  <c r="M826" i="1"/>
  <c r="O825" i="1"/>
  <c r="O825" i="1" a="1"/>
  <c r="N825" i="1"/>
  <c r="M825" i="1"/>
  <c r="O824" i="1" a="1"/>
  <c r="O824" i="1" s="1"/>
  <c r="N824" i="1"/>
  <c r="M824" i="1"/>
  <c r="O823" i="1" a="1"/>
  <c r="O823" i="1" s="1"/>
  <c r="N823" i="1"/>
  <c r="M823" i="1"/>
  <c r="O822" i="1" a="1"/>
  <c r="O822" i="1" s="1"/>
  <c r="N822" i="1"/>
  <c r="M822" i="1"/>
  <c r="O821" i="1" a="1"/>
  <c r="O821" i="1" s="1"/>
  <c r="N821" i="1"/>
  <c r="M821" i="1"/>
  <c r="O820" i="1" a="1"/>
  <c r="O820" i="1" s="1"/>
  <c r="N820" i="1"/>
  <c r="M820" i="1"/>
  <c r="O819" i="1" a="1"/>
  <c r="O819" i="1" s="1"/>
  <c r="N819" i="1"/>
  <c r="M819" i="1"/>
  <c r="O818" i="1" a="1"/>
  <c r="O818" i="1" s="1"/>
  <c r="N818" i="1"/>
  <c r="M818" i="1"/>
  <c r="O817" i="1" a="1"/>
  <c r="O817" i="1" s="1"/>
  <c r="N817" i="1"/>
  <c r="M817" i="1"/>
  <c r="O816" i="1" a="1"/>
  <c r="O816" i="1" s="1"/>
  <c r="N816" i="1"/>
  <c r="M816" i="1"/>
  <c r="O815" i="1" a="1"/>
  <c r="O815" i="1" s="1"/>
  <c r="N815" i="1"/>
  <c r="M815" i="1"/>
  <c r="O814" i="1" a="1"/>
  <c r="O814" i="1" s="1"/>
  <c r="N814" i="1"/>
  <c r="M814" i="1"/>
  <c r="O813" i="1" a="1"/>
  <c r="O813" i="1" s="1"/>
  <c r="N813" i="1"/>
  <c r="M813" i="1"/>
  <c r="O812" i="1" a="1"/>
  <c r="O812" i="1" s="1"/>
  <c r="N812" i="1"/>
  <c r="M812" i="1"/>
  <c r="O811" i="1" a="1"/>
  <c r="O811" i="1" s="1"/>
  <c r="N811" i="1"/>
  <c r="M811" i="1"/>
  <c r="O810" i="1" a="1"/>
  <c r="O810" i="1" s="1"/>
  <c r="N810" i="1"/>
  <c r="M810" i="1"/>
  <c r="O809" i="1" a="1"/>
  <c r="O809" i="1" s="1"/>
  <c r="N809" i="1"/>
  <c r="M809" i="1"/>
  <c r="O808" i="1" a="1"/>
  <c r="O808" i="1" s="1"/>
  <c r="N808" i="1"/>
  <c r="M808" i="1"/>
  <c r="O807" i="1" a="1"/>
  <c r="O807" i="1" s="1"/>
  <c r="N807" i="1"/>
  <c r="M807" i="1"/>
  <c r="O806" i="1" a="1"/>
  <c r="O806" i="1" s="1"/>
  <c r="N806" i="1"/>
  <c r="M806" i="1"/>
  <c r="O805" i="1"/>
  <c r="O805" i="1" a="1"/>
  <c r="N805" i="1"/>
  <c r="M805" i="1"/>
  <c r="O804" i="1" a="1"/>
  <c r="O804" i="1" s="1"/>
  <c r="N804" i="1"/>
  <c r="M804" i="1"/>
  <c r="O803" i="1" a="1"/>
  <c r="O803" i="1" s="1"/>
  <c r="N803" i="1"/>
  <c r="M803" i="1"/>
  <c r="O802" i="1"/>
  <c r="O802" i="1" a="1"/>
  <c r="N802" i="1"/>
  <c r="M802" i="1"/>
  <c r="O801" i="1" a="1"/>
  <c r="O801" i="1" s="1"/>
  <c r="N801" i="1"/>
  <c r="M801" i="1"/>
  <c r="O800" i="1" a="1"/>
  <c r="O800" i="1" s="1"/>
  <c r="N800" i="1"/>
  <c r="M800" i="1"/>
  <c r="O799" i="1" a="1"/>
  <c r="O799" i="1" s="1"/>
  <c r="N799" i="1"/>
  <c r="M799" i="1"/>
  <c r="O798" i="1" a="1"/>
  <c r="O798" i="1" s="1"/>
  <c r="N798" i="1"/>
  <c r="M798" i="1"/>
  <c r="O797" i="1" a="1"/>
  <c r="O797" i="1" s="1"/>
  <c r="N797" i="1"/>
  <c r="M797" i="1"/>
  <c r="O796" i="1" a="1"/>
  <c r="O796" i="1" s="1"/>
  <c r="N796" i="1"/>
  <c r="M796" i="1"/>
  <c r="O795" i="1" a="1"/>
  <c r="O795" i="1" s="1"/>
  <c r="N795" i="1"/>
  <c r="M795" i="1"/>
  <c r="O794" i="1" a="1"/>
  <c r="O794" i="1" s="1"/>
  <c r="N794" i="1"/>
  <c r="M794" i="1"/>
  <c r="O793" i="1" a="1"/>
  <c r="O793" i="1" s="1"/>
  <c r="N793" i="1"/>
  <c r="M793" i="1"/>
  <c r="O792" i="1"/>
  <c r="O792" i="1" a="1"/>
  <c r="N792" i="1"/>
  <c r="M792" i="1"/>
  <c r="O791" i="1" a="1"/>
  <c r="O791" i="1" s="1"/>
  <c r="N791" i="1"/>
  <c r="M791" i="1"/>
  <c r="O790" i="1" a="1"/>
  <c r="O790" i="1" s="1"/>
  <c r="N790" i="1"/>
  <c r="M790" i="1"/>
  <c r="O789" i="1"/>
  <c r="O789" i="1" a="1"/>
  <c r="N789" i="1"/>
  <c r="M789" i="1"/>
  <c r="O788" i="1" a="1"/>
  <c r="O788" i="1" s="1"/>
  <c r="N788" i="1"/>
  <c r="M788" i="1"/>
  <c r="O787" i="1" a="1"/>
  <c r="O787" i="1" s="1"/>
  <c r="N787" i="1"/>
  <c r="M787" i="1"/>
  <c r="O786" i="1" a="1"/>
  <c r="O786" i="1" s="1"/>
  <c r="N786" i="1"/>
  <c r="M786" i="1"/>
  <c r="O785" i="1" a="1"/>
  <c r="O785" i="1" s="1"/>
  <c r="N785" i="1"/>
  <c r="M785" i="1"/>
  <c r="O784" i="1" a="1"/>
  <c r="O784" i="1" s="1"/>
  <c r="N784" i="1"/>
  <c r="M784" i="1"/>
  <c r="O783" i="1" a="1"/>
  <c r="O783" i="1" s="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a="1"/>
  <c r="O776" i="1" s="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a="1"/>
  <c r="O770" i="1" s="1"/>
  <c r="N770" i="1"/>
  <c r="M770" i="1"/>
  <c r="O769" i="1"/>
  <c r="O769" i="1" a="1"/>
  <c r="N769" i="1"/>
  <c r="M769" i="1"/>
  <c r="O768" i="1" a="1"/>
  <c r="O768" i="1" s="1"/>
  <c r="N768" i="1"/>
  <c r="M768" i="1"/>
  <c r="O767" i="1" a="1"/>
  <c r="O767" i="1" s="1"/>
  <c r="N767" i="1"/>
  <c r="M767" i="1"/>
  <c r="O766" i="1"/>
  <c r="O766" i="1" a="1"/>
  <c r="N766" i="1"/>
  <c r="M766" i="1"/>
  <c r="O765" i="1" a="1"/>
  <c r="O765" i="1" s="1"/>
  <c r="N765" i="1"/>
  <c r="M765" i="1"/>
  <c r="O764" i="1" a="1"/>
  <c r="O764" i="1" s="1"/>
  <c r="N764" i="1"/>
  <c r="M764" i="1"/>
  <c r="O763" i="1"/>
  <c r="O763" i="1" a="1"/>
  <c r="N763" i="1"/>
  <c r="M763" i="1"/>
  <c r="O762" i="1" a="1"/>
  <c r="O762" i="1" s="1"/>
  <c r="N762" i="1"/>
  <c r="M762" i="1"/>
  <c r="O761" i="1" a="1"/>
  <c r="O761" i="1" s="1"/>
  <c r="N761" i="1"/>
  <c r="M761" i="1"/>
  <c r="O760" i="1" a="1"/>
  <c r="O760" i="1" s="1"/>
  <c r="N760" i="1"/>
  <c r="M760" i="1"/>
  <c r="O759" i="1" a="1"/>
  <c r="O759" i="1" s="1"/>
  <c r="N759" i="1"/>
  <c r="M759" i="1"/>
  <c r="O758" i="1" a="1"/>
  <c r="O758" i="1" s="1"/>
  <c r="N758" i="1"/>
  <c r="M758" i="1"/>
  <c r="O757" i="1" a="1"/>
  <c r="O757" i="1" s="1"/>
  <c r="N757" i="1"/>
  <c r="M757" i="1"/>
  <c r="O756" i="1"/>
  <c r="O756" i="1" a="1"/>
  <c r="N756" i="1"/>
  <c r="M756" i="1"/>
  <c r="O755" i="1" a="1"/>
  <c r="O755" i="1" s="1"/>
  <c r="N755" i="1"/>
  <c r="M755" i="1"/>
  <c r="O754" i="1" a="1"/>
  <c r="O754" i="1" s="1"/>
  <c r="N754" i="1"/>
  <c r="M754" i="1"/>
  <c r="O753" i="1"/>
  <c r="O753" i="1" a="1"/>
  <c r="N753" i="1"/>
  <c r="M753" i="1"/>
  <c r="O752" i="1" a="1"/>
  <c r="O752" i="1" s="1"/>
  <c r="N752" i="1"/>
  <c r="M752" i="1"/>
  <c r="O751" i="1" a="1"/>
  <c r="O751" i="1" s="1"/>
  <c r="N751" i="1"/>
  <c r="M751" i="1"/>
  <c r="O750" i="1" a="1"/>
  <c r="O750" i="1" s="1"/>
  <c r="N750" i="1"/>
  <c r="M750" i="1"/>
  <c r="O749" i="1" a="1"/>
  <c r="O749" i="1" s="1"/>
  <c r="N749" i="1"/>
  <c r="M749" i="1"/>
  <c r="O748" i="1" a="1"/>
  <c r="O748" i="1" s="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a="1"/>
  <c r="O741" i="1" s="1"/>
  <c r="N741" i="1"/>
  <c r="M741" i="1"/>
  <c r="O740" i="1" a="1"/>
  <c r="O740" i="1" s="1"/>
  <c r="N740" i="1"/>
  <c r="M740" i="1"/>
  <c r="O739" i="1" a="1"/>
  <c r="O739" i="1" s="1"/>
  <c r="N739" i="1"/>
  <c r="M739" i="1"/>
  <c r="O738" i="1" a="1"/>
  <c r="O738" i="1" s="1"/>
  <c r="N738" i="1"/>
  <c r="M738" i="1"/>
  <c r="O737" i="1" a="1"/>
  <c r="O737" i="1" s="1"/>
  <c r="N737" i="1"/>
  <c r="M737" i="1"/>
  <c r="O736" i="1" a="1"/>
  <c r="O736" i="1" s="1"/>
  <c r="N736" i="1"/>
  <c r="M736" i="1"/>
  <c r="O735" i="1" a="1"/>
  <c r="O735" i="1" s="1"/>
  <c r="N735" i="1"/>
  <c r="M735" i="1"/>
  <c r="O734" i="1" a="1"/>
  <c r="O734" i="1" s="1"/>
  <c r="N734" i="1"/>
  <c r="M734" i="1"/>
  <c r="O733" i="1"/>
  <c r="O733" i="1" a="1"/>
  <c r="N733" i="1"/>
  <c r="M733" i="1"/>
  <c r="O732" i="1" a="1"/>
  <c r="O732" i="1" s="1"/>
  <c r="N732" i="1"/>
  <c r="M732" i="1"/>
  <c r="O731" i="1" a="1"/>
  <c r="O731" i="1" s="1"/>
  <c r="N731" i="1"/>
  <c r="M731" i="1"/>
  <c r="O730" i="1"/>
  <c r="O730" i="1" a="1"/>
  <c r="N730" i="1"/>
  <c r="M730" i="1"/>
  <c r="O729" i="1" a="1"/>
  <c r="O729" i="1" s="1"/>
  <c r="N729" i="1"/>
  <c r="M729" i="1"/>
  <c r="O728" i="1" a="1"/>
  <c r="O728" i="1" s="1"/>
  <c r="N728" i="1"/>
  <c r="M728" i="1"/>
  <c r="O727" i="1" a="1"/>
  <c r="O727" i="1" s="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c r="O717" i="1" a="1"/>
  <c r="N717" i="1"/>
  <c r="M717" i="1"/>
  <c r="O716" i="1" a="1"/>
  <c r="O716" i="1" s="1"/>
  <c r="N716" i="1"/>
  <c r="M716" i="1"/>
  <c r="O715" i="1" a="1"/>
  <c r="O715" i="1" s="1"/>
  <c r="N715" i="1"/>
  <c r="M715" i="1"/>
  <c r="O714" i="1" a="1"/>
  <c r="O714" i="1" s="1"/>
  <c r="N714" i="1"/>
  <c r="M714" i="1"/>
  <c r="O713" i="1" a="1"/>
  <c r="O713" i="1" s="1"/>
  <c r="N713" i="1"/>
  <c r="M713" i="1"/>
  <c r="O712" i="1" a="1"/>
  <c r="O712" i="1" s="1"/>
  <c r="N712" i="1"/>
  <c r="M712" i="1"/>
  <c r="O711" i="1" a="1"/>
  <c r="O711" i="1" s="1"/>
  <c r="N711" i="1"/>
  <c r="M711" i="1"/>
  <c r="O710" i="1" a="1"/>
  <c r="O710" i="1" s="1"/>
  <c r="N710" i="1"/>
  <c r="M710" i="1"/>
  <c r="O709" i="1" a="1"/>
  <c r="O709" i="1" s="1"/>
  <c r="N709" i="1"/>
  <c r="M709" i="1"/>
  <c r="O708" i="1" a="1"/>
  <c r="O708" i="1" s="1"/>
  <c r="N708" i="1"/>
  <c r="M708" i="1"/>
  <c r="O707" i="1" a="1"/>
  <c r="O707" i="1" s="1"/>
  <c r="N707" i="1"/>
  <c r="M707" i="1"/>
  <c r="O706" i="1" a="1"/>
  <c r="O706" i="1" s="1"/>
  <c r="N706" i="1"/>
  <c r="M706" i="1"/>
  <c r="O705" i="1" a="1"/>
  <c r="O705" i="1" s="1"/>
  <c r="N705" i="1"/>
  <c r="M705" i="1"/>
  <c r="O704" i="1" a="1"/>
  <c r="O704" i="1" s="1"/>
  <c r="N704" i="1"/>
  <c r="M704" i="1"/>
  <c r="O703" i="1" a="1"/>
  <c r="O703" i="1" s="1"/>
  <c r="N703" i="1"/>
  <c r="M703" i="1"/>
  <c r="O702" i="1" a="1"/>
  <c r="O702" i="1" s="1"/>
  <c r="N702" i="1"/>
  <c r="M702" i="1"/>
  <c r="O701" i="1" a="1"/>
  <c r="O701" i="1" s="1"/>
  <c r="N701" i="1"/>
  <c r="M701" i="1"/>
  <c r="O700" i="1" a="1"/>
  <c r="O700" i="1" s="1"/>
  <c r="N700" i="1"/>
  <c r="M700" i="1"/>
  <c r="O699" i="1" a="1"/>
  <c r="O699" i="1" s="1"/>
  <c r="N699" i="1"/>
  <c r="M699" i="1"/>
  <c r="O698" i="1" a="1"/>
  <c r="O698" i="1" s="1"/>
  <c r="N698" i="1"/>
  <c r="M698" i="1"/>
  <c r="O697" i="1"/>
  <c r="O697" i="1" a="1"/>
  <c r="N697" i="1"/>
  <c r="M697" i="1"/>
  <c r="O696" i="1" a="1"/>
  <c r="O696" i="1" s="1"/>
  <c r="N696" i="1"/>
  <c r="M696" i="1"/>
  <c r="O695" i="1" a="1"/>
  <c r="O695" i="1" s="1"/>
  <c r="N695" i="1"/>
  <c r="M695" i="1"/>
  <c r="O694" i="1"/>
  <c r="O694" i="1" a="1"/>
  <c r="N694" i="1"/>
  <c r="M694" i="1"/>
  <c r="O693" i="1" a="1"/>
  <c r="O693" i="1" s="1"/>
  <c r="N693" i="1"/>
  <c r="M693" i="1"/>
  <c r="O692" i="1" a="1"/>
  <c r="O692" i="1" s="1"/>
  <c r="N692" i="1"/>
  <c r="M692" i="1"/>
  <c r="O691" i="1"/>
  <c r="O691" i="1" a="1"/>
  <c r="N691" i="1"/>
  <c r="M691" i="1"/>
  <c r="O690" i="1" a="1"/>
  <c r="O690" i="1" s="1"/>
  <c r="N690" i="1"/>
  <c r="M690" i="1"/>
  <c r="O689" i="1" a="1"/>
  <c r="O689" i="1" s="1"/>
  <c r="N689" i="1"/>
  <c r="M689" i="1"/>
  <c r="O688" i="1" a="1"/>
  <c r="O688" i="1" s="1"/>
  <c r="N688" i="1"/>
  <c r="M688" i="1"/>
  <c r="O687" i="1" a="1"/>
  <c r="O687" i="1" s="1"/>
  <c r="N687" i="1"/>
  <c r="M687" i="1"/>
  <c r="O686" i="1" a="1"/>
  <c r="O686" i="1" s="1"/>
  <c r="N686" i="1"/>
  <c r="M686" i="1"/>
  <c r="O685" i="1" a="1"/>
  <c r="O685" i="1" s="1"/>
  <c r="N685" i="1"/>
  <c r="M685" i="1"/>
  <c r="O684" i="1"/>
  <c r="O684" i="1" a="1"/>
  <c r="N684" i="1"/>
  <c r="M684" i="1"/>
  <c r="O683" i="1" a="1"/>
  <c r="O683" i="1" s="1"/>
  <c r="N683" i="1"/>
  <c r="M683" i="1"/>
  <c r="O682" i="1" a="1"/>
  <c r="O682" i="1" s="1"/>
  <c r="N682" i="1"/>
  <c r="M682" i="1"/>
  <c r="O681" i="1"/>
  <c r="O681" i="1" a="1"/>
  <c r="N681" i="1"/>
  <c r="M681" i="1"/>
  <c r="O680" i="1" a="1"/>
  <c r="O680" i="1" s="1"/>
  <c r="N680" i="1"/>
  <c r="M680" i="1"/>
  <c r="O679" i="1" a="1"/>
  <c r="O679" i="1" s="1"/>
  <c r="N679" i="1"/>
  <c r="M679" i="1"/>
  <c r="O678" i="1" a="1"/>
  <c r="O678" i="1" s="1"/>
  <c r="N678" i="1"/>
  <c r="M678" i="1"/>
  <c r="O677" i="1" a="1"/>
  <c r="O677" i="1" s="1"/>
  <c r="N677" i="1"/>
  <c r="M677" i="1"/>
  <c r="O676" i="1" a="1"/>
  <c r="O676" i="1" s="1"/>
  <c r="N676" i="1"/>
  <c r="M676" i="1"/>
  <c r="O675" i="1" a="1"/>
  <c r="O675" i="1" s="1"/>
  <c r="N675" i="1"/>
  <c r="M675" i="1"/>
  <c r="O674" i="1" a="1"/>
  <c r="O674" i="1" s="1"/>
  <c r="N674" i="1"/>
  <c r="M674" i="1"/>
  <c r="O673" i="1" a="1"/>
  <c r="O673" i="1" s="1"/>
  <c r="N673" i="1"/>
  <c r="M673" i="1"/>
  <c r="O672" i="1" a="1"/>
  <c r="O672" i="1" s="1"/>
  <c r="N672" i="1"/>
  <c r="M672" i="1"/>
  <c r="O671" i="1" a="1"/>
  <c r="O671" i="1" s="1"/>
  <c r="N671" i="1"/>
  <c r="M671" i="1"/>
  <c r="O670" i="1" a="1"/>
  <c r="O670" i="1" s="1"/>
  <c r="N670" i="1"/>
  <c r="M670" i="1"/>
  <c r="O669" i="1" a="1"/>
  <c r="O669" i="1" s="1"/>
  <c r="N669" i="1"/>
  <c r="M669" i="1"/>
  <c r="O668" i="1" a="1"/>
  <c r="O668" i="1" s="1"/>
  <c r="N668" i="1"/>
  <c r="M668" i="1"/>
  <c r="O667" i="1" a="1"/>
  <c r="O667" i="1" s="1"/>
  <c r="N667" i="1"/>
  <c r="M667" i="1"/>
  <c r="O666" i="1" a="1"/>
  <c r="O666" i="1" s="1"/>
  <c r="N666" i="1"/>
  <c r="M666" i="1"/>
  <c r="O665" i="1" a="1"/>
  <c r="O665" i="1" s="1"/>
  <c r="N665" i="1"/>
  <c r="M665" i="1"/>
  <c r="O664" i="1" a="1"/>
  <c r="O664" i="1" s="1"/>
  <c r="N664" i="1"/>
  <c r="M664" i="1"/>
  <c r="O663" i="1" a="1"/>
  <c r="O663" i="1" s="1"/>
  <c r="N663" i="1"/>
  <c r="M663" i="1"/>
  <c r="O662" i="1" a="1"/>
  <c r="O662" i="1" s="1"/>
  <c r="N662" i="1"/>
  <c r="M662" i="1"/>
  <c r="O661" i="1"/>
  <c r="O661" i="1" a="1"/>
  <c r="N661" i="1"/>
  <c r="M661" i="1"/>
  <c r="O660" i="1" a="1"/>
  <c r="O660" i="1" s="1"/>
  <c r="N660" i="1"/>
  <c r="M660" i="1"/>
  <c r="O659" i="1" a="1"/>
  <c r="O659" i="1" s="1"/>
  <c r="N659" i="1"/>
  <c r="M659" i="1"/>
  <c r="O658" i="1"/>
  <c r="O658" i="1" a="1"/>
  <c r="N658" i="1"/>
  <c r="M658" i="1"/>
  <c r="O657" i="1" a="1"/>
  <c r="O657" i="1" s="1"/>
  <c r="N657" i="1"/>
  <c r="M657" i="1"/>
  <c r="O656" i="1" a="1"/>
  <c r="O656" i="1" s="1"/>
  <c r="N656" i="1"/>
  <c r="M656" i="1"/>
  <c r="O655" i="1" a="1"/>
  <c r="O655" i="1" s="1"/>
  <c r="N655" i="1"/>
  <c r="M655" i="1"/>
  <c r="O654" i="1" a="1"/>
  <c r="O654" i="1" s="1"/>
  <c r="N654" i="1"/>
  <c r="M654" i="1"/>
  <c r="O653" i="1" a="1"/>
  <c r="O653" i="1" s="1"/>
  <c r="N653" i="1"/>
  <c r="M653" i="1"/>
  <c r="O652" i="1" a="1"/>
  <c r="O652" i="1" s="1"/>
  <c r="N652" i="1"/>
  <c r="M652" i="1"/>
  <c r="O651" i="1" a="1"/>
  <c r="O651" i="1" s="1"/>
  <c r="N651" i="1"/>
  <c r="M651" i="1"/>
  <c r="O650" i="1" a="1"/>
  <c r="O650" i="1" s="1"/>
  <c r="N650" i="1"/>
  <c r="M650" i="1"/>
  <c r="O649" i="1" a="1"/>
  <c r="O649" i="1" s="1"/>
  <c r="N649" i="1"/>
  <c r="M649" i="1"/>
  <c r="O648" i="1"/>
  <c r="O648" i="1" a="1"/>
  <c r="N648" i="1"/>
  <c r="M648" i="1"/>
  <c r="O647" i="1" a="1"/>
  <c r="O647" i="1" s="1"/>
  <c r="N647" i="1"/>
  <c r="M647" i="1"/>
  <c r="O646" i="1" a="1"/>
  <c r="O646" i="1" s="1"/>
  <c r="N646" i="1"/>
  <c r="M646" i="1"/>
  <c r="O645" i="1"/>
  <c r="O645" i="1" a="1"/>
  <c r="N645" i="1"/>
  <c r="M645" i="1"/>
  <c r="O644" i="1" a="1"/>
  <c r="O644" i="1" s="1"/>
  <c r="N644" i="1"/>
  <c r="M644" i="1"/>
  <c r="O643" i="1" a="1"/>
  <c r="O643" i="1" s="1"/>
  <c r="N643" i="1"/>
  <c r="M643" i="1"/>
  <c r="O642" i="1" a="1"/>
  <c r="O642" i="1" s="1"/>
  <c r="N642" i="1"/>
  <c r="M642" i="1"/>
  <c r="O641" i="1" a="1"/>
  <c r="O641" i="1" s="1"/>
  <c r="N641" i="1"/>
  <c r="M641" i="1"/>
  <c r="O640" i="1" a="1"/>
  <c r="O640" i="1" s="1"/>
  <c r="N640" i="1"/>
  <c r="M640" i="1"/>
  <c r="O639" i="1" a="1"/>
  <c r="O639" i="1" s="1"/>
  <c r="N639" i="1"/>
  <c r="M639" i="1"/>
  <c r="O638" i="1" a="1"/>
  <c r="O638" i="1" s="1"/>
  <c r="N638" i="1"/>
  <c r="M638" i="1"/>
  <c r="O637" i="1" a="1"/>
  <c r="O637" i="1" s="1"/>
  <c r="N637" i="1"/>
  <c r="M637" i="1"/>
  <c r="O636" i="1" a="1"/>
  <c r="O636" i="1" s="1"/>
  <c r="N636" i="1"/>
  <c r="M636" i="1"/>
  <c r="O635" i="1" a="1"/>
  <c r="O635" i="1" s="1"/>
  <c r="N635" i="1"/>
  <c r="M635" i="1"/>
  <c r="O634" i="1" a="1"/>
  <c r="O634" i="1" s="1"/>
  <c r="N634" i="1"/>
  <c r="M634" i="1"/>
  <c r="O633" i="1" a="1"/>
  <c r="O633" i="1" s="1"/>
  <c r="N633" i="1"/>
  <c r="M633" i="1"/>
  <c r="O632" i="1" a="1"/>
  <c r="O632" i="1" s="1"/>
  <c r="N632" i="1"/>
  <c r="M632" i="1"/>
  <c r="O631" i="1" a="1"/>
  <c r="O631" i="1" s="1"/>
  <c r="N631" i="1"/>
  <c r="M631" i="1"/>
  <c r="O630" i="1" a="1"/>
  <c r="O630" i="1" s="1"/>
  <c r="N630" i="1"/>
  <c r="M630" i="1"/>
  <c r="O629" i="1" a="1"/>
  <c r="O629" i="1" s="1"/>
  <c r="N629" i="1"/>
  <c r="M629" i="1"/>
  <c r="O628" i="1"/>
  <c r="O628" i="1" a="1"/>
  <c r="N628" i="1"/>
  <c r="M628" i="1"/>
  <c r="O627" i="1" a="1"/>
  <c r="O627" i="1" s="1"/>
  <c r="N627" i="1"/>
  <c r="M627" i="1"/>
  <c r="O626" i="1" a="1"/>
  <c r="O626" i="1" s="1"/>
  <c r="N626" i="1"/>
  <c r="M626" i="1"/>
  <c r="O625" i="1"/>
  <c r="O625" i="1" a="1"/>
  <c r="N625" i="1"/>
  <c r="M625" i="1"/>
  <c r="O624" i="1" a="1"/>
  <c r="O624" i="1" s="1"/>
  <c r="N624" i="1"/>
  <c r="M624" i="1"/>
  <c r="O623" i="1" a="1"/>
  <c r="O623" i="1" s="1"/>
  <c r="N623" i="1"/>
  <c r="M623" i="1"/>
  <c r="O622" i="1"/>
  <c r="O622" i="1" a="1"/>
  <c r="N622" i="1"/>
  <c r="M622" i="1"/>
  <c r="O621" i="1" a="1"/>
  <c r="O621" i="1" s="1"/>
  <c r="N621" i="1"/>
  <c r="M621" i="1"/>
  <c r="O620" i="1" a="1"/>
  <c r="O620" i="1" s="1"/>
  <c r="N620" i="1"/>
  <c r="M620" i="1"/>
  <c r="O619" i="1"/>
  <c r="O619" i="1" a="1"/>
  <c r="N619" i="1"/>
  <c r="M619" i="1"/>
  <c r="O618" i="1" a="1"/>
  <c r="O618" i="1" s="1"/>
  <c r="N618" i="1"/>
  <c r="M618" i="1"/>
  <c r="O617" i="1" a="1"/>
  <c r="O617" i="1" s="1"/>
  <c r="N617" i="1"/>
  <c r="M617" i="1"/>
  <c r="O616" i="1"/>
  <c r="O616" i="1" a="1"/>
  <c r="N616" i="1"/>
  <c r="M616" i="1"/>
  <c r="O615" i="1" a="1"/>
  <c r="O615" i="1" s="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a="1"/>
  <c r="O608" i="1" s="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a="1"/>
  <c r="O599" i="1" s="1"/>
  <c r="N599" i="1"/>
  <c r="M599" i="1"/>
  <c r="O598" i="1" a="1"/>
  <c r="O598" i="1" s="1"/>
  <c r="N598" i="1"/>
  <c r="M598" i="1"/>
  <c r="O597" i="1" a="1"/>
  <c r="O597" i="1" s="1"/>
  <c r="N597" i="1"/>
  <c r="M597" i="1"/>
  <c r="O596" i="1" a="1"/>
  <c r="O596" i="1" s="1"/>
  <c r="N596" i="1"/>
  <c r="M596" i="1"/>
  <c r="O595" i="1" a="1"/>
  <c r="O595" i="1" s="1"/>
  <c r="N595" i="1"/>
  <c r="M595" i="1"/>
  <c r="O594" i="1" a="1"/>
  <c r="O594" i="1" s="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a="1"/>
  <c r="O585" i="1" s="1"/>
  <c r="N585" i="1"/>
  <c r="M585" i="1"/>
  <c r="O584" i="1" a="1"/>
  <c r="O584" i="1" s="1"/>
  <c r="N584" i="1"/>
  <c r="M584" i="1"/>
  <c r="O583" i="1"/>
  <c r="O583" i="1" a="1"/>
  <c r="N583" i="1"/>
  <c r="M583" i="1"/>
  <c r="O582" i="1" a="1"/>
  <c r="O582" i="1" s="1"/>
  <c r="N582" i="1"/>
  <c r="M582" i="1"/>
  <c r="O581" i="1" a="1"/>
  <c r="O581" i="1" s="1"/>
  <c r="N581" i="1"/>
  <c r="M581" i="1"/>
  <c r="O580" i="1" a="1"/>
  <c r="O580" i="1" s="1"/>
  <c r="N580" i="1"/>
  <c r="M580" i="1"/>
  <c r="O579" i="1" a="1"/>
  <c r="O579" i="1" s="1"/>
  <c r="N579" i="1"/>
  <c r="M579" i="1"/>
  <c r="O578" i="1" a="1"/>
  <c r="O578" i="1" s="1"/>
  <c r="N578" i="1"/>
  <c r="M578" i="1"/>
  <c r="O577" i="1" a="1"/>
  <c r="O577" i="1" s="1"/>
  <c r="N577" i="1"/>
  <c r="M577" i="1"/>
  <c r="O576" i="1" a="1"/>
  <c r="O576" i="1" s="1"/>
  <c r="N576" i="1"/>
  <c r="M576" i="1"/>
  <c r="O575" i="1" a="1"/>
  <c r="O575" i="1" s="1"/>
  <c r="N575" i="1"/>
  <c r="M575" i="1"/>
  <c r="O574" i="1" a="1"/>
  <c r="O574" i="1" s="1"/>
  <c r="N574" i="1"/>
  <c r="M574" i="1"/>
  <c r="O573" i="1" a="1"/>
  <c r="O573" i="1" s="1"/>
  <c r="N573" i="1"/>
  <c r="M573" i="1"/>
  <c r="O572" i="1" a="1"/>
  <c r="O572" i="1" s="1"/>
  <c r="N572" i="1"/>
  <c r="M572" i="1"/>
  <c r="O571" i="1" a="1"/>
  <c r="O571" i="1" s="1"/>
  <c r="N571" i="1"/>
  <c r="M571" i="1"/>
  <c r="O570" i="1" a="1"/>
  <c r="O570" i="1" s="1"/>
  <c r="N570" i="1"/>
  <c r="M570" i="1"/>
  <c r="O569" i="1" a="1"/>
  <c r="O569" i="1" s="1"/>
  <c r="N569" i="1"/>
  <c r="M569" i="1"/>
  <c r="O568" i="1" a="1"/>
  <c r="O568" i="1" s="1"/>
  <c r="N568" i="1"/>
  <c r="M568" i="1"/>
  <c r="O567" i="1" a="1"/>
  <c r="O567" i="1" s="1"/>
  <c r="N567" i="1"/>
  <c r="M567" i="1"/>
  <c r="O566" i="1" a="1"/>
  <c r="O566" i="1" s="1"/>
  <c r="N566" i="1"/>
  <c r="M566" i="1"/>
  <c r="O565" i="1"/>
  <c r="O565" i="1" a="1"/>
  <c r="N565" i="1"/>
  <c r="M565" i="1"/>
  <c r="O564" i="1" a="1"/>
  <c r="O564" i="1" s="1"/>
  <c r="N564" i="1"/>
  <c r="M564" i="1"/>
  <c r="O563" i="1" a="1"/>
  <c r="O563" i="1" s="1"/>
  <c r="N563" i="1"/>
  <c r="M563" i="1"/>
  <c r="O562" i="1"/>
  <c r="O562" i="1" a="1"/>
  <c r="N562" i="1"/>
  <c r="M562" i="1"/>
  <c r="O561" i="1" a="1"/>
  <c r="O561" i="1" s="1"/>
  <c r="N561" i="1"/>
  <c r="M561" i="1"/>
  <c r="O560" i="1" a="1"/>
  <c r="O560" i="1" s="1"/>
  <c r="N560" i="1"/>
  <c r="M560" i="1"/>
  <c r="O559" i="1" a="1"/>
  <c r="O559" i="1" s="1"/>
  <c r="N559" i="1"/>
  <c r="M559" i="1"/>
  <c r="O558" i="1" a="1"/>
  <c r="O558" i="1" s="1"/>
  <c r="N558" i="1"/>
  <c r="M558" i="1"/>
  <c r="O557" i="1" a="1"/>
  <c r="O557" i="1" s="1"/>
  <c r="N557" i="1"/>
  <c r="M557" i="1"/>
  <c r="O556" i="1" a="1"/>
  <c r="O556" i="1" s="1"/>
  <c r="N556" i="1"/>
  <c r="M556" i="1"/>
  <c r="O555" i="1" a="1"/>
  <c r="O555" i="1" s="1"/>
  <c r="N555" i="1"/>
  <c r="M555" i="1"/>
  <c r="O554" i="1" a="1"/>
  <c r="O554" i="1" s="1"/>
  <c r="N554" i="1"/>
  <c r="M554" i="1"/>
  <c r="O553" i="1" a="1"/>
  <c r="O553" i="1" s="1"/>
  <c r="N553" i="1"/>
  <c r="M553" i="1"/>
  <c r="O552" i="1" a="1"/>
  <c r="O552" i="1" s="1"/>
  <c r="N552" i="1"/>
  <c r="M552" i="1"/>
  <c r="O551" i="1" a="1"/>
  <c r="O551" i="1" s="1"/>
  <c r="N551" i="1"/>
  <c r="M551" i="1"/>
  <c r="O550" i="1" a="1"/>
  <c r="O550" i="1" s="1"/>
  <c r="N550" i="1"/>
  <c r="M550" i="1"/>
  <c r="O549" i="1" a="1"/>
  <c r="O549" i="1" s="1"/>
  <c r="N549" i="1"/>
  <c r="M549" i="1"/>
  <c r="O548" i="1" a="1"/>
  <c r="O548" i="1" s="1"/>
  <c r="N548" i="1"/>
  <c r="M548" i="1"/>
  <c r="O547" i="1"/>
  <c r="O547" i="1" a="1"/>
  <c r="N547" i="1"/>
  <c r="M547" i="1"/>
  <c r="O546" i="1" a="1"/>
  <c r="O546" i="1" s="1"/>
  <c r="N546" i="1"/>
  <c r="M546" i="1"/>
  <c r="O545" i="1" a="1"/>
  <c r="O545" i="1" s="1"/>
  <c r="N545" i="1"/>
  <c r="M545" i="1"/>
  <c r="O544" i="1" a="1"/>
  <c r="O544" i="1" s="1"/>
  <c r="N544" i="1"/>
  <c r="M544" i="1"/>
  <c r="O543" i="1" a="1"/>
  <c r="O543" i="1" s="1"/>
  <c r="N543" i="1"/>
  <c r="M543" i="1"/>
  <c r="O542" i="1" a="1"/>
  <c r="O542" i="1" s="1"/>
  <c r="N542" i="1"/>
  <c r="M542" i="1"/>
  <c r="O541" i="1" a="1"/>
  <c r="O541" i="1" s="1"/>
  <c r="N541" i="1"/>
  <c r="M541" i="1"/>
  <c r="O540" i="1" a="1"/>
  <c r="O540" i="1" s="1"/>
  <c r="N540" i="1"/>
  <c r="M540" i="1"/>
  <c r="O539" i="1" a="1"/>
  <c r="O539" i="1" s="1"/>
  <c r="N539" i="1"/>
  <c r="M539" i="1"/>
  <c r="O538" i="1" a="1"/>
  <c r="O538" i="1" s="1"/>
  <c r="N538" i="1"/>
  <c r="M538" i="1"/>
  <c r="O537" i="1" a="1"/>
  <c r="O537" i="1" s="1"/>
  <c r="N537" i="1"/>
  <c r="M537" i="1"/>
  <c r="O536" i="1" a="1"/>
  <c r="O536" i="1" s="1"/>
  <c r="N536" i="1"/>
  <c r="M536" i="1"/>
  <c r="O535" i="1" a="1"/>
  <c r="O535" i="1" s="1"/>
  <c r="N535" i="1"/>
  <c r="M535" i="1"/>
  <c r="O534" i="1" a="1"/>
  <c r="O534" i="1" s="1"/>
  <c r="N534" i="1"/>
  <c r="M534" i="1"/>
  <c r="O533" i="1" a="1"/>
  <c r="O533" i="1" s="1"/>
  <c r="N533" i="1"/>
  <c r="M533" i="1"/>
  <c r="O532" i="1" a="1"/>
  <c r="O532" i="1" s="1"/>
  <c r="N532" i="1"/>
  <c r="M532" i="1"/>
  <c r="O531" i="1" a="1"/>
  <c r="O531" i="1" s="1"/>
  <c r="N531" i="1"/>
  <c r="M531" i="1"/>
  <c r="O530" i="1" a="1"/>
  <c r="O530" i="1" s="1"/>
  <c r="N530" i="1"/>
  <c r="M530" i="1"/>
  <c r="O529" i="1"/>
  <c r="O529" i="1" a="1"/>
  <c r="N529" i="1"/>
  <c r="M529" i="1"/>
  <c r="O528" i="1" a="1"/>
  <c r="O528" i="1" s="1"/>
  <c r="N528" i="1"/>
  <c r="M528" i="1"/>
  <c r="O527" i="1" a="1"/>
  <c r="O527" i="1" s="1"/>
  <c r="N527" i="1"/>
  <c r="M527" i="1"/>
  <c r="O526" i="1" a="1"/>
  <c r="O526" i="1" s="1"/>
  <c r="N526" i="1"/>
  <c r="M526" i="1"/>
  <c r="O525" i="1" a="1"/>
  <c r="O525" i="1" s="1"/>
  <c r="N525" i="1"/>
  <c r="M525" i="1"/>
  <c r="O524" i="1" a="1"/>
  <c r="O524" i="1" s="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a="1"/>
  <c r="O517" i="1" s="1"/>
  <c r="N517" i="1"/>
  <c r="M517" i="1"/>
  <c r="O516" i="1" a="1"/>
  <c r="O516" i="1" s="1"/>
  <c r="N516" i="1"/>
  <c r="M516" i="1"/>
  <c r="O515" i="1" a="1"/>
  <c r="O515" i="1" s="1"/>
  <c r="N515" i="1"/>
  <c r="M515" i="1"/>
  <c r="O514" i="1" a="1"/>
  <c r="O514" i="1" s="1"/>
  <c r="N514" i="1"/>
  <c r="M514" i="1"/>
  <c r="O513" i="1" a="1"/>
  <c r="O513" i="1" s="1"/>
  <c r="N513" i="1"/>
  <c r="M513" i="1"/>
  <c r="O512" i="1" a="1"/>
  <c r="O512" i="1" s="1"/>
  <c r="N512" i="1"/>
  <c r="M512" i="1"/>
  <c r="O511" i="1"/>
  <c r="O511" i="1" a="1"/>
  <c r="N511" i="1"/>
  <c r="M511" i="1"/>
  <c r="O510" i="1" a="1"/>
  <c r="O510" i="1" s="1"/>
  <c r="N510" i="1"/>
  <c r="M510" i="1"/>
  <c r="O509" i="1" a="1"/>
  <c r="O509" i="1" s="1"/>
  <c r="N509" i="1"/>
  <c r="M509" i="1"/>
  <c r="O508" i="1"/>
  <c r="O508" i="1" a="1"/>
  <c r="N508" i="1"/>
  <c r="M508" i="1"/>
  <c r="O507" i="1" a="1"/>
  <c r="O507" i="1" s="1"/>
  <c r="N507" i="1"/>
  <c r="M507" i="1"/>
  <c r="O506" i="1" a="1"/>
  <c r="O506" i="1" s="1"/>
  <c r="N506" i="1"/>
  <c r="M506" i="1"/>
  <c r="O505" i="1" a="1"/>
  <c r="O505" i="1" s="1"/>
  <c r="N505" i="1"/>
  <c r="M505" i="1"/>
  <c r="O504" i="1" a="1"/>
  <c r="O504" i="1" s="1"/>
  <c r="N504" i="1"/>
  <c r="M504" i="1"/>
  <c r="O503" i="1" a="1"/>
  <c r="O503" i="1" s="1"/>
  <c r="N503" i="1"/>
  <c r="M503" i="1"/>
  <c r="O502" i="1" a="1"/>
  <c r="O502" i="1" s="1"/>
  <c r="N502" i="1"/>
  <c r="M502" i="1"/>
  <c r="O501" i="1" a="1"/>
  <c r="O501" i="1" s="1"/>
  <c r="N501" i="1"/>
  <c r="M501" i="1"/>
  <c r="O500" i="1" a="1"/>
  <c r="O500" i="1" s="1"/>
  <c r="N500" i="1"/>
  <c r="M500" i="1"/>
  <c r="O499" i="1" a="1"/>
  <c r="O499" i="1" s="1"/>
  <c r="N499" i="1"/>
  <c r="M499" i="1"/>
  <c r="O498" i="1" a="1"/>
  <c r="O498" i="1" s="1"/>
  <c r="N498" i="1"/>
  <c r="M498" i="1"/>
  <c r="O497" i="1" a="1"/>
  <c r="O497" i="1" s="1"/>
  <c r="N497" i="1"/>
  <c r="M497" i="1"/>
  <c r="O496" i="1" a="1"/>
  <c r="O496" i="1" s="1"/>
  <c r="N496" i="1"/>
  <c r="M496" i="1"/>
  <c r="O495" i="1" a="1"/>
  <c r="O495" i="1" s="1"/>
  <c r="N495" i="1"/>
  <c r="M495" i="1"/>
  <c r="O494" i="1" a="1"/>
  <c r="O494" i="1" s="1"/>
  <c r="N494" i="1"/>
  <c r="M494" i="1"/>
  <c r="O493" i="1"/>
  <c r="O493" i="1" a="1"/>
  <c r="N493" i="1"/>
  <c r="M493" i="1"/>
  <c r="O492" i="1" a="1"/>
  <c r="O492" i="1" s="1"/>
  <c r="N492" i="1"/>
  <c r="M492" i="1"/>
  <c r="O491" i="1" a="1"/>
  <c r="O491" i="1" s="1"/>
  <c r="N491" i="1"/>
  <c r="M491" i="1"/>
  <c r="O490" i="1" a="1"/>
  <c r="O490" i="1" s="1"/>
  <c r="N490" i="1"/>
  <c r="M490" i="1"/>
  <c r="O489" i="1" a="1"/>
  <c r="O489" i="1" s="1"/>
  <c r="N489" i="1"/>
  <c r="M489" i="1"/>
  <c r="O488" i="1" a="1"/>
  <c r="O488" i="1" s="1"/>
  <c r="N488" i="1"/>
  <c r="M488" i="1"/>
  <c r="O487" i="1" a="1"/>
  <c r="O487" i="1" s="1"/>
  <c r="N487" i="1"/>
  <c r="M487" i="1"/>
  <c r="O486" i="1" a="1"/>
  <c r="O486" i="1" s="1"/>
  <c r="N486" i="1"/>
  <c r="M486" i="1"/>
  <c r="O485" i="1" a="1"/>
  <c r="O485" i="1" s="1"/>
  <c r="N485" i="1"/>
  <c r="M485" i="1"/>
  <c r="O484" i="1" a="1"/>
  <c r="O484" i="1" s="1"/>
  <c r="N484" i="1"/>
  <c r="M484" i="1"/>
  <c r="O483" i="1" a="1"/>
  <c r="O483" i="1" s="1"/>
  <c r="N483" i="1"/>
  <c r="M483" i="1"/>
  <c r="O482" i="1" a="1"/>
  <c r="O482" i="1" s="1"/>
  <c r="N482" i="1"/>
  <c r="M482" i="1"/>
  <c r="O481" i="1" a="1"/>
  <c r="O481" i="1" s="1"/>
  <c r="N481" i="1"/>
  <c r="M481" i="1"/>
  <c r="O480" i="1" a="1"/>
  <c r="O480" i="1" s="1"/>
  <c r="N480" i="1"/>
  <c r="M480" i="1"/>
  <c r="O479" i="1" a="1"/>
  <c r="O479" i="1" s="1"/>
  <c r="N479" i="1"/>
  <c r="M479" i="1"/>
  <c r="O478" i="1" a="1"/>
  <c r="O478" i="1" s="1"/>
  <c r="N478" i="1"/>
  <c r="M478" i="1"/>
  <c r="O477" i="1" a="1"/>
  <c r="O477" i="1" s="1"/>
  <c r="N477" i="1"/>
  <c r="M477" i="1"/>
  <c r="O476" i="1" a="1"/>
  <c r="O476" i="1" s="1"/>
  <c r="N476" i="1"/>
  <c r="M476" i="1"/>
  <c r="O475" i="1"/>
  <c r="O475" i="1" a="1"/>
  <c r="N475" i="1"/>
  <c r="M475" i="1"/>
  <c r="O474" i="1" a="1"/>
  <c r="O474" i="1" s="1"/>
  <c r="N474" i="1"/>
  <c r="M474" i="1"/>
  <c r="O473" i="1" a="1"/>
  <c r="O473" i="1" s="1"/>
  <c r="N473" i="1"/>
  <c r="M473" i="1"/>
  <c r="O472" i="1" a="1"/>
  <c r="O472" i="1" s="1"/>
  <c r="N472" i="1"/>
  <c r="M472" i="1"/>
  <c r="O471" i="1" a="1"/>
  <c r="O471" i="1" s="1"/>
  <c r="N471" i="1"/>
  <c r="M471" i="1"/>
  <c r="O470" i="1" a="1"/>
  <c r="O470" i="1" s="1"/>
  <c r="N470" i="1"/>
  <c r="M470" i="1"/>
  <c r="O469" i="1" a="1"/>
  <c r="O469" i="1" s="1"/>
  <c r="N469" i="1"/>
  <c r="M469" i="1"/>
  <c r="O468" i="1" a="1"/>
  <c r="O468" i="1" s="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a="1"/>
  <c r="O461" i="1" s="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a="1"/>
  <c r="O449" i="1" s="1"/>
  <c r="N449" i="1"/>
  <c r="M449" i="1"/>
  <c r="O448" i="1" a="1"/>
  <c r="O448" i="1" s="1"/>
  <c r="N448" i="1"/>
  <c r="M448" i="1"/>
  <c r="O447" i="1" a="1"/>
  <c r="O447" i="1" s="1"/>
  <c r="N447" i="1"/>
  <c r="M447" i="1"/>
  <c r="O446" i="1" a="1"/>
  <c r="O446" i="1" s="1"/>
  <c r="N446" i="1"/>
  <c r="M446" i="1"/>
  <c r="O445" i="1" a="1"/>
  <c r="O445" i="1" s="1"/>
  <c r="N445" i="1"/>
  <c r="M445" i="1"/>
  <c r="O444" i="1" a="1"/>
  <c r="O444" i="1" s="1"/>
  <c r="N444" i="1"/>
  <c r="M444" i="1"/>
  <c r="O443" i="1" a="1"/>
  <c r="O443" i="1" s="1"/>
  <c r="N443" i="1"/>
  <c r="M443" i="1"/>
  <c r="O442" i="1" a="1"/>
  <c r="O442" i="1" s="1"/>
  <c r="N442" i="1"/>
  <c r="M442" i="1"/>
  <c r="O441" i="1" a="1"/>
  <c r="O441" i="1" s="1"/>
  <c r="N441" i="1"/>
  <c r="M441" i="1"/>
  <c r="O440" i="1" a="1"/>
  <c r="O440" i="1" s="1"/>
  <c r="N440" i="1"/>
  <c r="M440" i="1"/>
  <c r="O439" i="1"/>
  <c r="O439" i="1" a="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a="1"/>
  <c r="O433" i="1" s="1"/>
  <c r="N433" i="1"/>
  <c r="M433" i="1"/>
  <c r="O432" i="1" a="1"/>
  <c r="O432" i="1" s="1"/>
  <c r="N432" i="1"/>
  <c r="M432" i="1"/>
  <c r="O431" i="1" a="1"/>
  <c r="O431" i="1" s="1"/>
  <c r="N431" i="1"/>
  <c r="M431" i="1"/>
  <c r="O430" i="1" a="1"/>
  <c r="O430" i="1" s="1"/>
  <c r="N430" i="1"/>
  <c r="M430" i="1"/>
  <c r="O429" i="1" a="1"/>
  <c r="O429" i="1" s="1"/>
  <c r="N429" i="1"/>
  <c r="M429" i="1"/>
  <c r="O428" i="1" a="1"/>
  <c r="O428" i="1" s="1"/>
  <c r="N428" i="1"/>
  <c r="M428" i="1"/>
  <c r="O427" i="1" a="1"/>
  <c r="O427" i="1" s="1"/>
  <c r="N427" i="1"/>
  <c r="M427" i="1"/>
  <c r="O426" i="1" a="1"/>
  <c r="O426" i="1" s="1"/>
  <c r="N426" i="1"/>
  <c r="M426" i="1"/>
  <c r="O425" i="1" a="1"/>
  <c r="O425" i="1" s="1"/>
  <c r="N425" i="1"/>
  <c r="M425" i="1"/>
  <c r="O424" i="1" a="1"/>
  <c r="O424" i="1" s="1"/>
  <c r="N424" i="1"/>
  <c r="M424" i="1"/>
  <c r="O423" i="1" a="1"/>
  <c r="O423" i="1" s="1"/>
  <c r="N423" i="1"/>
  <c r="M423" i="1"/>
  <c r="O422" i="1" a="1"/>
  <c r="O422" i="1" s="1"/>
  <c r="N422" i="1"/>
  <c r="M422" i="1"/>
  <c r="O421" i="1"/>
  <c r="O421" i="1" a="1"/>
  <c r="N421" i="1"/>
  <c r="M421" i="1"/>
  <c r="O420" i="1" a="1"/>
  <c r="O420" i="1" s="1"/>
  <c r="N420" i="1"/>
  <c r="M420" i="1"/>
  <c r="O419" i="1" a="1"/>
  <c r="O419" i="1" s="1"/>
  <c r="N419" i="1"/>
  <c r="M419" i="1"/>
  <c r="O418" i="1" a="1"/>
  <c r="O418" i="1" s="1"/>
  <c r="N418" i="1"/>
  <c r="M418" i="1"/>
  <c r="O417" i="1" a="1"/>
  <c r="O417" i="1" s="1"/>
  <c r="N417" i="1"/>
  <c r="M417" i="1"/>
  <c r="O416" i="1" a="1"/>
  <c r="O416" i="1" s="1"/>
  <c r="N416" i="1"/>
  <c r="M416" i="1"/>
  <c r="O415" i="1" a="1"/>
  <c r="O415" i="1" s="1"/>
  <c r="N415" i="1"/>
  <c r="M415" i="1"/>
  <c r="O414" i="1" a="1"/>
  <c r="O414" i="1" s="1"/>
  <c r="N414" i="1"/>
  <c r="M414" i="1"/>
  <c r="O413" i="1" a="1"/>
  <c r="O413" i="1" s="1"/>
  <c r="N413" i="1"/>
  <c r="M413" i="1"/>
  <c r="O412" i="1" a="1"/>
  <c r="O412" i="1" s="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a="1"/>
  <c r="O405" i="1" s="1"/>
  <c r="N405" i="1"/>
  <c r="M405" i="1"/>
  <c r="O404" i="1" a="1"/>
  <c r="O404" i="1" s="1"/>
  <c r="N404" i="1"/>
  <c r="M404" i="1"/>
  <c r="O403" i="1"/>
  <c r="O403" i="1" a="1"/>
  <c r="N403" i="1"/>
  <c r="M403" i="1"/>
  <c r="O402" i="1" a="1"/>
  <c r="O402" i="1" s="1"/>
  <c r="N402" i="1"/>
  <c r="M402" i="1"/>
  <c r="O401" i="1" a="1"/>
  <c r="O401" i="1" s="1"/>
  <c r="N401" i="1"/>
  <c r="M401" i="1"/>
  <c r="O400" i="1"/>
  <c r="O400" i="1" a="1"/>
  <c r="N400" i="1"/>
  <c r="M400" i="1"/>
  <c r="O399" i="1" a="1"/>
  <c r="O399" i="1" s="1"/>
  <c r="N399" i="1"/>
  <c r="M399" i="1"/>
  <c r="O398" i="1" a="1"/>
  <c r="O398" i="1" s="1"/>
  <c r="N398" i="1"/>
  <c r="M398" i="1"/>
  <c r="O397" i="1" a="1"/>
  <c r="O397" i="1" s="1"/>
  <c r="N397" i="1"/>
  <c r="M397" i="1"/>
  <c r="O396" i="1" a="1"/>
  <c r="O396" i="1" s="1"/>
  <c r="N396" i="1"/>
  <c r="M396" i="1"/>
  <c r="O395" i="1" a="1"/>
  <c r="O395" i="1" s="1"/>
  <c r="N395" i="1"/>
  <c r="M395" i="1"/>
  <c r="O394" i="1" a="1"/>
  <c r="O394" i="1" s="1"/>
  <c r="N394" i="1"/>
  <c r="M394" i="1"/>
  <c r="O393" i="1" a="1"/>
  <c r="O393" i="1" s="1"/>
  <c r="N393" i="1"/>
  <c r="M393" i="1"/>
  <c r="O392" i="1" a="1"/>
  <c r="O392" i="1" s="1"/>
  <c r="N392" i="1"/>
  <c r="M392" i="1"/>
  <c r="O391" i="1" a="1"/>
  <c r="O391" i="1" s="1"/>
  <c r="N391" i="1"/>
  <c r="M391" i="1"/>
  <c r="O390" i="1" a="1"/>
  <c r="O390" i="1" s="1"/>
  <c r="N390" i="1"/>
  <c r="M390" i="1"/>
  <c r="O389" i="1" a="1"/>
  <c r="O389" i="1" s="1"/>
  <c r="N389" i="1"/>
  <c r="M389" i="1"/>
  <c r="O388" i="1" a="1"/>
  <c r="O388" i="1" s="1"/>
  <c r="N388" i="1"/>
  <c r="M388" i="1"/>
  <c r="O387" i="1" a="1"/>
  <c r="O387" i="1" s="1"/>
  <c r="N387" i="1"/>
  <c r="M387" i="1"/>
  <c r="O386" i="1" a="1"/>
  <c r="O386" i="1" s="1"/>
  <c r="N386" i="1"/>
  <c r="M386" i="1"/>
  <c r="O385" i="1"/>
  <c r="O385" i="1" a="1"/>
  <c r="N385" i="1"/>
  <c r="M385" i="1"/>
  <c r="O384" i="1" a="1"/>
  <c r="O384" i="1" s="1"/>
  <c r="N384" i="1"/>
  <c r="M384" i="1"/>
  <c r="O383" i="1" a="1"/>
  <c r="O383" i="1" s="1"/>
  <c r="N383" i="1"/>
  <c r="M383" i="1"/>
  <c r="O382" i="1" a="1"/>
  <c r="O382" i="1" s="1"/>
  <c r="N382" i="1"/>
  <c r="M382" i="1"/>
  <c r="O381" i="1" a="1"/>
  <c r="O381" i="1" s="1"/>
  <c r="N381" i="1"/>
  <c r="M381" i="1"/>
  <c r="O380" i="1" a="1"/>
  <c r="O380" i="1" s="1"/>
  <c r="N380" i="1"/>
  <c r="M380" i="1"/>
  <c r="O379" i="1" a="1"/>
  <c r="O379" i="1" s="1"/>
  <c r="N379" i="1"/>
  <c r="M379" i="1"/>
  <c r="O378" i="1" a="1"/>
  <c r="O378" i="1" s="1"/>
  <c r="N378" i="1"/>
  <c r="M378" i="1"/>
  <c r="O377" i="1" a="1"/>
  <c r="O377" i="1" s="1"/>
  <c r="N377" i="1"/>
  <c r="M377" i="1"/>
  <c r="O376" i="1" a="1"/>
  <c r="O376" i="1" s="1"/>
  <c r="N376" i="1"/>
  <c r="M376" i="1"/>
  <c r="O375" i="1" a="1"/>
  <c r="O375" i="1" s="1"/>
  <c r="N375" i="1"/>
  <c r="M375" i="1"/>
  <c r="O374" i="1" a="1"/>
  <c r="O374" i="1" s="1"/>
  <c r="N374" i="1"/>
  <c r="M374" i="1"/>
  <c r="O373" i="1" a="1"/>
  <c r="O373" i="1" s="1"/>
  <c r="N373" i="1"/>
  <c r="M373" i="1"/>
  <c r="O372" i="1" a="1"/>
  <c r="O372" i="1" s="1"/>
  <c r="N372" i="1"/>
  <c r="M372" i="1"/>
  <c r="O371" i="1" a="1"/>
  <c r="O371" i="1" s="1"/>
  <c r="N371" i="1"/>
  <c r="M371" i="1"/>
  <c r="O370" i="1" a="1"/>
  <c r="O370" i="1" s="1"/>
  <c r="N370" i="1"/>
  <c r="M370" i="1"/>
  <c r="O369" i="1" a="1"/>
  <c r="O369" i="1" s="1"/>
  <c r="N369" i="1"/>
  <c r="M369" i="1"/>
  <c r="O368" i="1" a="1"/>
  <c r="O368" i="1" s="1"/>
  <c r="N368" i="1"/>
  <c r="M368" i="1"/>
  <c r="O367" i="1"/>
  <c r="O367" i="1" a="1"/>
  <c r="N367" i="1"/>
  <c r="M367" i="1"/>
  <c r="O366" i="1" a="1"/>
  <c r="O366" i="1" s="1"/>
  <c r="N366" i="1"/>
  <c r="M366" i="1"/>
  <c r="O365" i="1" a="1"/>
  <c r="O365" i="1" s="1"/>
  <c r="N365" i="1"/>
  <c r="M365" i="1"/>
  <c r="O364" i="1" a="1"/>
  <c r="O364" i="1" s="1"/>
  <c r="N364" i="1"/>
  <c r="M364" i="1"/>
  <c r="O363" i="1" a="1"/>
  <c r="O363" i="1" s="1"/>
  <c r="N363" i="1"/>
  <c r="M363" i="1"/>
  <c r="O362" i="1" a="1"/>
  <c r="O362" i="1" s="1"/>
  <c r="N362" i="1"/>
  <c r="M362" i="1"/>
  <c r="O361" i="1" a="1"/>
  <c r="O361" i="1" s="1"/>
  <c r="N361" i="1"/>
  <c r="M361" i="1"/>
  <c r="O360" i="1" a="1"/>
  <c r="O360" i="1" s="1"/>
  <c r="N360" i="1"/>
  <c r="M360" i="1"/>
  <c r="O359" i="1" a="1"/>
  <c r="O359" i="1" s="1"/>
  <c r="N359" i="1"/>
  <c r="M359" i="1"/>
  <c r="O358" i="1" a="1"/>
  <c r="O358" i="1" s="1"/>
  <c r="N358" i="1"/>
  <c r="M358" i="1"/>
  <c r="O357" i="1" a="1"/>
  <c r="O357" i="1" s="1"/>
  <c r="N357" i="1"/>
  <c r="M357" i="1"/>
  <c r="O356" i="1" a="1"/>
  <c r="O356" i="1" s="1"/>
  <c r="N356" i="1"/>
  <c r="M356" i="1"/>
  <c r="O355" i="1" a="1"/>
  <c r="O355" i="1" s="1"/>
  <c r="N355" i="1"/>
  <c r="M355" i="1"/>
  <c r="O354" i="1" a="1"/>
  <c r="O354" i="1" s="1"/>
  <c r="N354" i="1"/>
  <c r="M354" i="1"/>
  <c r="O353" i="1"/>
  <c r="O353" i="1" a="1"/>
  <c r="N353" i="1"/>
  <c r="M353" i="1"/>
  <c r="O352" i="1"/>
  <c r="O352" i="1" a="1"/>
  <c r="N352" i="1"/>
  <c r="M352" i="1"/>
  <c r="O351" i="1" a="1"/>
  <c r="O351" i="1" s="1"/>
  <c r="N351" i="1"/>
  <c r="M351" i="1"/>
  <c r="O350" i="1" a="1"/>
  <c r="O350" i="1" s="1"/>
  <c r="N350" i="1"/>
  <c r="M350" i="1"/>
  <c r="O349" i="1" a="1"/>
  <c r="O349" i="1" s="1"/>
  <c r="N349" i="1"/>
  <c r="M349" i="1"/>
  <c r="O348" i="1" a="1"/>
  <c r="O348" i="1" s="1"/>
  <c r="N348" i="1"/>
  <c r="M348" i="1"/>
  <c r="O347" i="1" a="1"/>
  <c r="O347" i="1" s="1"/>
  <c r="N347" i="1"/>
  <c r="M347" i="1"/>
  <c r="O346" i="1" a="1"/>
  <c r="O346" i="1" s="1"/>
  <c r="N346" i="1"/>
  <c r="M346" i="1"/>
  <c r="O345" i="1" a="1"/>
  <c r="O345" i="1" s="1"/>
  <c r="N345" i="1"/>
  <c r="M345" i="1"/>
  <c r="O344" i="1" a="1"/>
  <c r="O344" i="1" s="1"/>
  <c r="N344" i="1"/>
  <c r="M344" i="1"/>
  <c r="O343" i="1"/>
  <c r="O343" i="1" a="1"/>
  <c r="N343" i="1"/>
  <c r="M343" i="1"/>
  <c r="O342" i="1" a="1"/>
  <c r="O342" i="1" s="1"/>
  <c r="N342" i="1"/>
  <c r="M342" i="1"/>
  <c r="O341" i="1" a="1"/>
  <c r="O341" i="1" s="1"/>
  <c r="N341" i="1"/>
  <c r="M341" i="1"/>
  <c r="O340" i="1" a="1"/>
  <c r="O340" i="1" s="1"/>
  <c r="N340" i="1"/>
  <c r="M340" i="1"/>
  <c r="O339" i="1" a="1"/>
  <c r="O339" i="1" s="1"/>
  <c r="N339" i="1"/>
  <c r="M339" i="1"/>
  <c r="O338" i="1"/>
  <c r="O338" i="1" a="1"/>
  <c r="N338" i="1"/>
  <c r="M338" i="1"/>
  <c r="O337" i="1" a="1"/>
  <c r="O337" i="1" s="1"/>
  <c r="N337" i="1"/>
  <c r="M337" i="1"/>
  <c r="O336" i="1" a="1"/>
  <c r="O336" i="1" s="1"/>
  <c r="N336" i="1"/>
  <c r="M336" i="1"/>
  <c r="O335" i="1" a="1"/>
  <c r="O335" i="1" s="1"/>
  <c r="N335" i="1"/>
  <c r="M335" i="1"/>
  <c r="O334" i="1"/>
  <c r="O334" i="1" a="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a="1"/>
  <c r="O325" i="1" s="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c r="O319" i="1" a="1"/>
  <c r="N319" i="1"/>
  <c r="M319" i="1"/>
  <c r="O318" i="1" a="1"/>
  <c r="O318" i="1" s="1"/>
  <c r="N318" i="1"/>
  <c r="M318" i="1"/>
  <c r="O317" i="1" a="1"/>
  <c r="O317" i="1" s="1"/>
  <c r="N317" i="1"/>
  <c r="M317" i="1"/>
  <c r="O316" i="1" a="1"/>
  <c r="O316" i="1" s="1"/>
  <c r="N316" i="1"/>
  <c r="M316" i="1"/>
  <c r="O315" i="1" a="1"/>
  <c r="O315" i="1" s="1"/>
  <c r="N315" i="1"/>
  <c r="M315" i="1"/>
  <c r="O314" i="1" a="1"/>
  <c r="O314" i="1" s="1"/>
  <c r="N314" i="1"/>
  <c r="M314" i="1"/>
  <c r="O313" i="1"/>
  <c r="O313" i="1" a="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c r="O307" i="1" a="1"/>
  <c r="N307" i="1"/>
  <c r="M307" i="1"/>
  <c r="O306" i="1" a="1"/>
  <c r="O306" i="1" s="1"/>
  <c r="N306" i="1"/>
  <c r="M306" i="1"/>
  <c r="O305" i="1"/>
  <c r="O305" i="1" a="1"/>
  <c r="N305" i="1"/>
  <c r="M305" i="1"/>
  <c r="O304" i="1" a="1"/>
  <c r="O304" i="1" s="1"/>
  <c r="N304" i="1"/>
  <c r="M304" i="1"/>
  <c r="O303" i="1" a="1"/>
  <c r="O303" i="1" s="1"/>
  <c r="N303" i="1"/>
  <c r="M303" i="1"/>
  <c r="O302" i="1" a="1"/>
  <c r="O302" i="1" s="1"/>
  <c r="N302" i="1"/>
  <c r="M302" i="1"/>
  <c r="O301" i="1" a="1"/>
  <c r="O301" i="1" s="1"/>
  <c r="N301" i="1"/>
  <c r="M301" i="1"/>
  <c r="O300" i="1" a="1"/>
  <c r="O300" i="1" s="1"/>
  <c r="N300" i="1"/>
  <c r="M300" i="1"/>
  <c r="O299" i="1" a="1"/>
  <c r="O299" i="1" s="1"/>
  <c r="N299" i="1"/>
  <c r="M299" i="1"/>
  <c r="O298" i="1"/>
  <c r="O298" i="1" a="1"/>
  <c r="N298" i="1"/>
  <c r="M298" i="1"/>
  <c r="O297" i="1" a="1"/>
  <c r="O297" i="1" s="1"/>
  <c r="N297" i="1"/>
  <c r="M297" i="1"/>
  <c r="O296" i="1"/>
  <c r="O296" i="1" a="1"/>
  <c r="N296" i="1"/>
  <c r="M296" i="1"/>
  <c r="O295" i="1" a="1"/>
  <c r="O295" i="1" s="1"/>
  <c r="N295" i="1"/>
  <c r="M295" i="1"/>
  <c r="O294" i="1" a="1"/>
  <c r="O294" i="1" s="1"/>
  <c r="N294" i="1"/>
  <c r="M294" i="1"/>
  <c r="O293" i="1"/>
  <c r="O293" i="1" a="1"/>
  <c r="N293" i="1"/>
  <c r="M293" i="1"/>
  <c r="O292" i="1"/>
  <c r="O292" i="1" a="1"/>
  <c r="N292" i="1"/>
  <c r="M292" i="1"/>
  <c r="O291" i="1" a="1"/>
  <c r="O291" i="1" s="1"/>
  <c r="N291" i="1"/>
  <c r="M291" i="1"/>
  <c r="O290" i="1"/>
  <c r="O290" i="1" a="1"/>
  <c r="N290" i="1"/>
  <c r="M290" i="1"/>
  <c r="O289" i="1" a="1"/>
  <c r="O289" i="1" s="1"/>
  <c r="N289" i="1"/>
  <c r="M289" i="1"/>
  <c r="O288" i="1" a="1"/>
  <c r="O288" i="1" s="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a="1"/>
  <c r="O278" i="1" s="1"/>
  <c r="N278" i="1"/>
  <c r="M278" i="1"/>
  <c r="O277" i="1" a="1"/>
  <c r="O277" i="1" s="1"/>
  <c r="N277" i="1"/>
  <c r="M277" i="1"/>
  <c r="O276" i="1" a="1"/>
  <c r="O276" i="1" s="1"/>
  <c r="N276" i="1"/>
  <c r="M276" i="1"/>
  <c r="O275" i="1"/>
  <c r="O275" i="1" a="1"/>
  <c r="N275" i="1"/>
  <c r="M275" i="1"/>
  <c r="O274" i="1" a="1"/>
  <c r="O274" i="1" s="1"/>
  <c r="N274" i="1"/>
  <c r="M274" i="1"/>
  <c r="O273" i="1" a="1"/>
  <c r="O273" i="1" s="1"/>
  <c r="N273" i="1"/>
  <c r="M273" i="1"/>
  <c r="O272" i="1" a="1"/>
  <c r="O272" i="1" s="1"/>
  <c r="N272" i="1"/>
  <c r="M272" i="1"/>
  <c r="O271" i="1" a="1"/>
  <c r="O271" i="1" s="1"/>
  <c r="N271" i="1"/>
  <c r="M271" i="1"/>
  <c r="O270" i="1" a="1"/>
  <c r="O270" i="1" s="1"/>
  <c r="N270" i="1"/>
  <c r="M270" i="1"/>
  <c r="O269" i="1"/>
  <c r="O269" i="1" a="1"/>
  <c r="N269" i="1"/>
  <c r="M269" i="1"/>
  <c r="O268" i="1" a="1"/>
  <c r="O268" i="1" s="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c r="O256" i="1" a="1"/>
  <c r="N256" i="1"/>
  <c r="M256" i="1"/>
  <c r="O255" i="1" a="1"/>
  <c r="O255" i="1" s="1"/>
  <c r="N255" i="1"/>
  <c r="M255" i="1"/>
  <c r="O254" i="1" a="1"/>
  <c r="O254" i="1" s="1"/>
  <c r="N254" i="1"/>
  <c r="M254" i="1"/>
  <c r="O253" i="1" a="1"/>
  <c r="O253" i="1" s="1"/>
  <c r="N253" i="1"/>
  <c r="M253" i="1"/>
  <c r="O252" i="1" a="1"/>
  <c r="O252" i="1" s="1"/>
  <c r="N252" i="1"/>
  <c r="M252" i="1"/>
  <c r="O251" i="1"/>
  <c r="O251" i="1" a="1"/>
  <c r="N251" i="1"/>
  <c r="M251" i="1"/>
  <c r="O250" i="1" a="1"/>
  <c r="O250" i="1" s="1"/>
  <c r="N250" i="1"/>
  <c r="M250" i="1"/>
  <c r="O249" i="1" a="1"/>
  <c r="O249" i="1" s="1"/>
  <c r="N249" i="1"/>
  <c r="M249" i="1"/>
  <c r="O248" i="1" a="1"/>
  <c r="O248" i="1" s="1"/>
  <c r="N248" i="1"/>
  <c r="M248" i="1"/>
  <c r="O247" i="1"/>
  <c r="O247" i="1" a="1"/>
  <c r="N247" i="1"/>
  <c r="M247" i="1"/>
  <c r="O246" i="1" a="1"/>
  <c r="O246" i="1" s="1"/>
  <c r="N246" i="1"/>
  <c r="M246" i="1"/>
  <c r="O245" i="1" a="1"/>
  <c r="O245" i="1" s="1"/>
  <c r="N245" i="1"/>
  <c r="M245" i="1"/>
  <c r="O244" i="1"/>
  <c r="O244" i="1" a="1"/>
  <c r="N244" i="1"/>
  <c r="M244" i="1"/>
  <c r="O243" i="1" a="1"/>
  <c r="O243" i="1" s="1"/>
  <c r="N243" i="1"/>
  <c r="M243" i="1"/>
  <c r="O242" i="1" a="1"/>
  <c r="O242" i="1" s="1"/>
  <c r="N242" i="1"/>
  <c r="M242" i="1"/>
  <c r="O241" i="1" a="1"/>
  <c r="O241" i="1" s="1"/>
  <c r="N241" i="1"/>
  <c r="M241" i="1"/>
  <c r="O240" i="1" a="1"/>
  <c r="O240" i="1" s="1"/>
  <c r="N240" i="1"/>
  <c r="M240" i="1"/>
  <c r="O239" i="1"/>
  <c r="O239" i="1" a="1"/>
  <c r="N239" i="1"/>
  <c r="M239" i="1"/>
  <c r="O238" i="1" a="1"/>
  <c r="O238" i="1" s="1"/>
  <c r="N238" i="1"/>
  <c r="M238" i="1"/>
  <c r="O237" i="1" a="1"/>
  <c r="O237" i="1" s="1"/>
  <c r="N237" i="1"/>
  <c r="M237" i="1"/>
  <c r="O236" i="1" a="1"/>
  <c r="O236" i="1" s="1"/>
  <c r="N236" i="1"/>
  <c r="M236" i="1"/>
  <c r="O235" i="1" a="1"/>
  <c r="O235" i="1" s="1"/>
  <c r="N235" i="1"/>
  <c r="M235" i="1"/>
  <c r="O234" i="1" a="1"/>
  <c r="O234" i="1" s="1"/>
  <c r="N234" i="1"/>
  <c r="M234" i="1"/>
  <c r="O233" i="1"/>
  <c r="O233" i="1" a="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c r="O226" i="1" a="1"/>
  <c r="N226" i="1"/>
  <c r="M226" i="1"/>
  <c r="O225" i="1" a="1"/>
  <c r="O225" i="1" s="1"/>
  <c r="N225" i="1"/>
  <c r="M225" i="1"/>
  <c r="O224" i="1"/>
  <c r="O224" i="1" a="1"/>
  <c r="N224" i="1"/>
  <c r="M224" i="1"/>
  <c r="O223" i="1" a="1"/>
  <c r="O223" i="1" s="1"/>
  <c r="N223" i="1"/>
  <c r="M223" i="1"/>
  <c r="O222" i="1" a="1"/>
  <c r="O222" i="1" s="1"/>
  <c r="N222" i="1"/>
  <c r="M222" i="1"/>
  <c r="O221" i="1" a="1"/>
  <c r="O221" i="1" s="1"/>
  <c r="N221" i="1"/>
  <c r="M221" i="1"/>
  <c r="O220" i="1"/>
  <c r="O220" i="1" a="1"/>
  <c r="N220" i="1"/>
  <c r="M220" i="1"/>
  <c r="O219" i="1" a="1"/>
  <c r="O219" i="1" s="1"/>
  <c r="N219" i="1"/>
  <c r="M219" i="1"/>
  <c r="O218" i="1" a="1"/>
  <c r="O218" i="1" s="1"/>
  <c r="N218" i="1"/>
  <c r="M218" i="1"/>
  <c r="O217" i="1" a="1"/>
  <c r="O217" i="1" s="1"/>
  <c r="N217" i="1"/>
  <c r="M217" i="1"/>
  <c r="O216" i="1" a="1"/>
  <c r="O216" i="1" s="1"/>
  <c r="N216" i="1"/>
  <c r="M216" i="1"/>
  <c r="O215" i="1" a="1"/>
  <c r="O215" i="1" s="1"/>
  <c r="N215" i="1"/>
  <c r="M215" i="1"/>
  <c r="O214" i="1" a="1"/>
  <c r="O214" i="1" s="1"/>
  <c r="N214" i="1"/>
  <c r="M214" i="1"/>
  <c r="O213" i="1" a="1"/>
  <c r="O213" i="1" s="1"/>
  <c r="N213" i="1"/>
  <c r="M213" i="1"/>
  <c r="O212" i="1"/>
  <c r="O212" i="1" a="1"/>
  <c r="N212" i="1"/>
  <c r="M212" i="1"/>
  <c r="O211" i="1"/>
  <c r="O211" i="1" a="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a="1"/>
  <c r="O204" i="1" s="1"/>
  <c r="N204" i="1"/>
  <c r="M204" i="1"/>
  <c r="O203" i="1"/>
  <c r="O203" i="1" a="1"/>
  <c r="N203" i="1"/>
  <c r="M203" i="1"/>
  <c r="O202" i="1" a="1"/>
  <c r="O202" i="1" s="1"/>
  <c r="N202" i="1"/>
  <c r="M202" i="1"/>
  <c r="O201" i="1" a="1"/>
  <c r="O201" i="1" s="1"/>
  <c r="N201" i="1"/>
  <c r="M201" i="1"/>
  <c r="O200" i="1" a="1"/>
  <c r="O200" i="1" s="1"/>
  <c r="N200" i="1"/>
  <c r="M200" i="1"/>
  <c r="O199" i="1" a="1"/>
  <c r="O199" i="1" s="1"/>
  <c r="N199" i="1"/>
  <c r="M199" i="1"/>
  <c r="O198" i="1" a="1"/>
  <c r="O198" i="1" s="1"/>
  <c r="N198" i="1"/>
  <c r="M198" i="1"/>
  <c r="O197" i="1"/>
  <c r="O197" i="1" a="1"/>
  <c r="N197" i="1"/>
  <c r="M197" i="1"/>
  <c r="O196" i="1" a="1"/>
  <c r="O196" i="1" s="1"/>
  <c r="N196" i="1"/>
  <c r="M196" i="1"/>
  <c r="O195" i="1" a="1"/>
  <c r="O195" i="1" s="1"/>
  <c r="N195" i="1"/>
  <c r="M195" i="1"/>
  <c r="O194" i="1" a="1"/>
  <c r="O194" i="1" s="1"/>
  <c r="N194" i="1"/>
  <c r="M194" i="1"/>
  <c r="O193" i="1" a="1"/>
  <c r="O193" i="1" s="1"/>
  <c r="N193" i="1"/>
  <c r="M193" i="1"/>
  <c r="O192" i="1" a="1"/>
  <c r="O192" i="1" s="1"/>
  <c r="N192" i="1"/>
  <c r="M192" i="1"/>
  <c r="O191" i="1" a="1"/>
  <c r="O191" i="1" s="1"/>
  <c r="N191" i="1"/>
  <c r="M191" i="1"/>
  <c r="O190" i="1"/>
  <c r="O190" i="1" a="1"/>
  <c r="N190" i="1"/>
  <c r="M190" i="1"/>
  <c r="O189" i="1" a="1"/>
  <c r="O189" i="1" s="1"/>
  <c r="N189" i="1"/>
  <c r="M189" i="1"/>
  <c r="O188" i="1"/>
  <c r="O188" i="1" a="1"/>
  <c r="N188" i="1"/>
  <c r="M188" i="1"/>
  <c r="O187" i="1" a="1"/>
  <c r="O187" i="1" s="1"/>
  <c r="N187" i="1"/>
  <c r="M187" i="1"/>
  <c r="O186" i="1" a="1"/>
  <c r="O186" i="1" s="1"/>
  <c r="N186" i="1"/>
  <c r="M186" i="1"/>
  <c r="O185" i="1" a="1"/>
  <c r="O185" i="1" s="1"/>
  <c r="N185" i="1"/>
  <c r="M185" i="1"/>
  <c r="O184" i="1" a="1"/>
  <c r="O184" i="1" s="1"/>
  <c r="N184" i="1"/>
  <c r="M184" i="1"/>
  <c r="O183" i="1" a="1"/>
  <c r="O183" i="1" s="1"/>
  <c r="N183" i="1"/>
  <c r="M183" i="1"/>
  <c r="O182" i="1" a="1"/>
  <c r="O182" i="1" s="1"/>
  <c r="N182" i="1"/>
  <c r="M182" i="1"/>
  <c r="O181" i="1" a="1"/>
  <c r="O181" i="1" s="1"/>
  <c r="N181" i="1"/>
  <c r="M181" i="1"/>
  <c r="O180" i="1" a="1"/>
  <c r="O180" i="1" s="1"/>
  <c r="N180" i="1"/>
  <c r="M180" i="1"/>
  <c r="O179" i="1"/>
  <c r="O179" i="1" a="1"/>
  <c r="N179" i="1"/>
  <c r="M179" i="1"/>
  <c r="O178" i="1" a="1"/>
  <c r="O178" i="1" s="1"/>
  <c r="N178" i="1"/>
  <c r="M178" i="1"/>
  <c r="O177" i="1" a="1"/>
  <c r="O177" i="1" s="1"/>
  <c r="N177" i="1"/>
  <c r="M177" i="1"/>
  <c r="O176" i="1"/>
  <c r="O176" i="1" a="1"/>
  <c r="N176" i="1"/>
  <c r="M176" i="1"/>
  <c r="O175" i="1"/>
  <c r="O175" i="1" a="1"/>
  <c r="N175" i="1"/>
  <c r="M175" i="1"/>
  <c r="O174" i="1" a="1"/>
  <c r="O174" i="1" s="1"/>
  <c r="N174" i="1"/>
  <c r="M174" i="1"/>
  <c r="O173" i="1" a="1"/>
  <c r="O173" i="1" s="1"/>
  <c r="N173" i="1"/>
  <c r="M173" i="1"/>
  <c r="O172" i="1"/>
  <c r="O172" i="1" a="1"/>
  <c r="N172" i="1"/>
  <c r="M172" i="1"/>
  <c r="O171" i="1" a="1"/>
  <c r="O171" i="1" s="1"/>
  <c r="N171" i="1"/>
  <c r="M171" i="1"/>
  <c r="O170" i="1" a="1"/>
  <c r="O170" i="1" s="1"/>
  <c r="N170" i="1"/>
  <c r="M170" i="1"/>
  <c r="O169" i="1"/>
  <c r="O169" i="1" a="1"/>
  <c r="N169" i="1"/>
  <c r="M169" i="1"/>
  <c r="O168" i="1" a="1"/>
  <c r="O168" i="1" s="1"/>
  <c r="N168" i="1"/>
  <c r="M168" i="1"/>
  <c r="O167" i="1"/>
  <c r="O167" i="1" a="1"/>
  <c r="N167" i="1"/>
  <c r="M167" i="1"/>
  <c r="O166" i="1"/>
  <c r="O166" i="1" a="1"/>
  <c r="N166" i="1"/>
  <c r="M166" i="1"/>
  <c r="O165" i="1" a="1"/>
  <c r="O165" i="1" s="1"/>
  <c r="N165" i="1"/>
  <c r="M165" i="1"/>
  <c r="O164" i="1" a="1"/>
  <c r="O164" i="1" s="1"/>
  <c r="N164" i="1"/>
  <c r="M164" i="1"/>
  <c r="O163" i="1" a="1"/>
  <c r="O163" i="1" s="1"/>
  <c r="N163" i="1"/>
  <c r="M163" i="1"/>
  <c r="O162" i="1" a="1"/>
  <c r="O162" i="1" s="1"/>
  <c r="N162" i="1"/>
  <c r="M162" i="1"/>
  <c r="O161" i="1"/>
  <c r="O161" i="1" a="1"/>
  <c r="N161" i="1"/>
  <c r="M161" i="1"/>
  <c r="O160" i="1" a="1"/>
  <c r="O160" i="1" s="1"/>
  <c r="N160" i="1"/>
  <c r="M160" i="1"/>
  <c r="O159" i="1" a="1"/>
  <c r="O159" i="1" s="1"/>
  <c r="N159" i="1"/>
  <c r="M159" i="1"/>
  <c r="O158" i="1" a="1"/>
  <c r="O158" i="1" s="1"/>
  <c r="N158" i="1"/>
  <c r="M158" i="1"/>
  <c r="O157" i="1" a="1"/>
  <c r="O157" i="1" s="1"/>
  <c r="N157" i="1"/>
  <c r="M157" i="1"/>
  <c r="O156" i="1" a="1"/>
  <c r="O156" i="1" s="1"/>
  <c r="N156" i="1"/>
  <c r="M156" i="1"/>
  <c r="O155" i="1" a="1"/>
  <c r="O155" i="1" s="1"/>
  <c r="N155" i="1"/>
  <c r="M155" i="1"/>
  <c r="O154" i="1"/>
  <c r="O154" i="1" a="1"/>
  <c r="N154" i="1"/>
  <c r="M154" i="1"/>
  <c r="O153" i="1" a="1"/>
  <c r="O153" i="1" s="1"/>
  <c r="N153" i="1"/>
  <c r="M153" i="1"/>
  <c r="O152" i="1"/>
  <c r="O152" i="1" a="1"/>
  <c r="N152" i="1"/>
  <c r="M152" i="1"/>
  <c r="O151" i="1" a="1"/>
  <c r="O151" i="1" s="1"/>
  <c r="N151" i="1"/>
  <c r="M151" i="1"/>
  <c r="O150" i="1" a="1"/>
  <c r="O150" i="1" s="1"/>
  <c r="N150" i="1"/>
  <c r="M150" i="1"/>
  <c r="O149" i="1" a="1"/>
  <c r="O149" i="1" s="1"/>
  <c r="N149" i="1"/>
  <c r="M149" i="1"/>
  <c r="O148" i="1"/>
  <c r="O148" i="1" a="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a="1"/>
  <c r="O142" i="1" s="1"/>
  <c r="N142" i="1"/>
  <c r="M142" i="1"/>
  <c r="O141" i="1" a="1"/>
  <c r="O141" i="1" s="1"/>
  <c r="N141" i="1"/>
  <c r="M141" i="1"/>
  <c r="O140" i="1"/>
  <c r="O140" i="1" a="1"/>
  <c r="N140" i="1"/>
  <c r="M140" i="1"/>
  <c r="O139" i="1"/>
  <c r="O139" i="1" a="1"/>
  <c r="N139" i="1"/>
  <c r="M139" i="1"/>
  <c r="O138" i="1" a="1"/>
  <c r="O138" i="1" s="1"/>
  <c r="N138" i="1"/>
  <c r="M138" i="1"/>
  <c r="O137" i="1" a="1"/>
  <c r="O137" i="1" s="1"/>
  <c r="N137" i="1"/>
  <c r="M137" i="1"/>
  <c r="O136" i="1" a="1"/>
  <c r="O136" i="1" s="1"/>
  <c r="N136" i="1"/>
  <c r="M136" i="1"/>
  <c r="O135" i="1" a="1"/>
  <c r="O135" i="1" s="1"/>
  <c r="N135" i="1"/>
  <c r="M135" i="1"/>
  <c r="O134" i="1" a="1"/>
  <c r="O134" i="1" s="1"/>
  <c r="N134" i="1"/>
  <c r="M134" i="1"/>
  <c r="O133" i="1"/>
  <c r="O133" i="1" a="1"/>
  <c r="N133" i="1"/>
  <c r="M133" i="1"/>
  <c r="O132" i="1" a="1"/>
  <c r="O132" i="1" s="1"/>
  <c r="N132" i="1"/>
  <c r="M132" i="1"/>
  <c r="O131" i="1"/>
  <c r="O131" i="1" a="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c r="O125" i="1" a="1"/>
  <c r="N125" i="1"/>
  <c r="M125" i="1"/>
  <c r="O124" i="1" a="1"/>
  <c r="O124" i="1" s="1"/>
  <c r="N124" i="1"/>
  <c r="M124" i="1"/>
  <c r="O123" i="1" a="1"/>
  <c r="O123" i="1" s="1"/>
  <c r="N123" i="1"/>
  <c r="M123" i="1"/>
  <c r="O122" i="1" a="1"/>
  <c r="O122" i="1" s="1"/>
  <c r="N122" i="1"/>
  <c r="M122" i="1"/>
  <c r="O121" i="1" a="1"/>
  <c r="O121" i="1" s="1"/>
  <c r="N121" i="1"/>
  <c r="M121" i="1"/>
  <c r="O120" i="1" a="1"/>
  <c r="O120" i="1" s="1"/>
  <c r="N120" i="1"/>
  <c r="M120" i="1"/>
  <c r="O119" i="1" a="1"/>
  <c r="O119" i="1" s="1"/>
  <c r="N119" i="1"/>
  <c r="M119" i="1"/>
  <c r="O118" i="1"/>
  <c r="O118" i="1" a="1"/>
  <c r="N118" i="1"/>
  <c r="M118" i="1"/>
  <c r="O117" i="1" a="1"/>
  <c r="O117" i="1" s="1"/>
  <c r="N117" i="1"/>
  <c r="M117" i="1"/>
  <c r="O116" i="1"/>
  <c r="O116" i="1" a="1"/>
  <c r="N116" i="1"/>
  <c r="M116" i="1"/>
  <c r="O115" i="1" a="1"/>
  <c r="O115" i="1" s="1"/>
  <c r="N115" i="1"/>
  <c r="M115" i="1"/>
  <c r="O114" i="1" a="1"/>
  <c r="O114" i="1" s="1"/>
  <c r="N114" i="1"/>
  <c r="M114" i="1"/>
  <c r="O113" i="1" a="1"/>
  <c r="O113" i="1" s="1"/>
  <c r="N113" i="1"/>
  <c r="M113" i="1"/>
  <c r="O112" i="1"/>
  <c r="O112" i="1" a="1"/>
  <c r="N112" i="1"/>
  <c r="M112" i="1"/>
  <c r="O111" i="1" a="1"/>
  <c r="O111" i="1" s="1"/>
  <c r="N111" i="1"/>
  <c r="M111" i="1"/>
  <c r="O110" i="1" a="1"/>
  <c r="O110" i="1" s="1"/>
  <c r="N110" i="1"/>
  <c r="M110" i="1"/>
  <c r="O109" i="1" a="1"/>
  <c r="O109" i="1" s="1"/>
  <c r="N109" i="1"/>
  <c r="M109" i="1"/>
  <c r="O108" i="1" a="1"/>
  <c r="O108" i="1" s="1"/>
  <c r="N108" i="1"/>
  <c r="M108" i="1"/>
  <c r="O107" i="1" a="1"/>
  <c r="O107" i="1" s="1"/>
  <c r="N107" i="1"/>
  <c r="M107" i="1"/>
  <c r="O106" i="1" a="1"/>
  <c r="O106" i="1" s="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a="1"/>
  <c r="O97" i="1" s="1"/>
  <c r="N97" i="1"/>
  <c r="M97" i="1"/>
  <c r="O96" i="1" a="1"/>
  <c r="O96" i="1" s="1"/>
  <c r="N96" i="1"/>
  <c r="M96" i="1"/>
  <c r="O95" i="1"/>
  <c r="O95" i="1" a="1"/>
  <c r="N95" i="1"/>
  <c r="M95" i="1"/>
  <c r="O94" i="1" a="1"/>
  <c r="O94" i="1" s="1"/>
  <c r="N94" i="1"/>
  <c r="M94" i="1"/>
  <c r="O93" i="1" a="1"/>
  <c r="O93" i="1" s="1"/>
  <c r="N93" i="1"/>
  <c r="M93" i="1"/>
  <c r="O92" i="1" a="1"/>
  <c r="O92" i="1" s="1"/>
  <c r="N92" i="1"/>
  <c r="M92" i="1"/>
  <c r="O91" i="1" a="1"/>
  <c r="O91" i="1" s="1"/>
  <c r="N91" i="1"/>
  <c r="M91" i="1"/>
  <c r="O90" i="1" a="1"/>
  <c r="O90" i="1" s="1"/>
  <c r="N90" i="1"/>
  <c r="M90" i="1"/>
  <c r="O89" i="1"/>
  <c r="O89" i="1" a="1"/>
  <c r="N89" i="1"/>
  <c r="M89" i="1"/>
  <c r="O88" i="1" a="1"/>
  <c r="O88" i="1" s="1"/>
  <c r="N88" i="1"/>
  <c r="M88" i="1"/>
  <c r="O87" i="1" a="1"/>
  <c r="O87" i="1" s="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c r="O80" i="1" a="1"/>
  <c r="N80" i="1"/>
  <c r="M80" i="1"/>
  <c r="O79" i="1" a="1"/>
  <c r="O79" i="1" s="1"/>
  <c r="N79" i="1"/>
  <c r="M79" i="1"/>
  <c r="O78" i="1" a="1"/>
  <c r="O78" i="1" s="1"/>
  <c r="N78" i="1"/>
  <c r="M78" i="1"/>
  <c r="O77" i="1"/>
  <c r="O77" i="1" a="1"/>
  <c r="N77" i="1"/>
  <c r="M77" i="1"/>
  <c r="O76" i="1" a="1"/>
  <c r="O76" i="1" s="1"/>
  <c r="N76" i="1"/>
  <c r="M76" i="1"/>
  <c r="O75" i="1" a="1"/>
  <c r="O75" i="1" s="1"/>
  <c r="N75" i="1"/>
  <c r="M75" i="1"/>
  <c r="O74" i="1" a="1"/>
  <c r="O74" i="1" s="1"/>
  <c r="N74" i="1"/>
  <c r="M74" i="1"/>
  <c r="O73" i="1" a="1"/>
  <c r="O73" i="1" s="1"/>
  <c r="N73" i="1"/>
  <c r="M73" i="1"/>
  <c r="O72" i="1" a="1"/>
  <c r="O72" i="1" s="1"/>
  <c r="N72" i="1"/>
  <c r="M72" i="1"/>
  <c r="O71" i="1" a="1"/>
  <c r="O71" i="1" s="1"/>
  <c r="N71" i="1"/>
  <c r="M71" i="1"/>
  <c r="O70" i="1" a="1"/>
  <c r="O70" i="1" s="1"/>
  <c r="N70" i="1"/>
  <c r="M70" i="1"/>
  <c r="O69" i="1" a="1"/>
  <c r="O69" i="1" s="1"/>
  <c r="N69" i="1"/>
  <c r="M69" i="1"/>
  <c r="O68" i="1"/>
  <c r="O68" i="1" a="1"/>
  <c r="N68" i="1"/>
  <c r="M68" i="1"/>
  <c r="O67" i="1"/>
  <c r="O67" i="1" a="1"/>
  <c r="N67" i="1"/>
  <c r="M67" i="1"/>
  <c r="O66" i="1" a="1"/>
  <c r="O66" i="1" s="1"/>
  <c r="N66" i="1"/>
  <c r="M66" i="1"/>
  <c r="O65" i="1" a="1"/>
  <c r="O65" i="1" s="1"/>
  <c r="N65" i="1"/>
  <c r="M65" i="1"/>
  <c r="O64" i="1" a="1"/>
  <c r="O64" i="1" s="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a="1"/>
  <c r="O57" i="1" s="1"/>
  <c r="N57" i="1"/>
  <c r="M57" i="1"/>
  <c r="O56" i="1" a="1"/>
  <c r="O56" i="1" s="1"/>
  <c r="N56" i="1"/>
  <c r="M56" i="1"/>
  <c r="O55" i="1"/>
  <c r="O55" i="1" a="1"/>
  <c r="N55" i="1"/>
  <c r="M55" i="1"/>
  <c r="O54" i="1" a="1"/>
  <c r="O54" i="1" s="1"/>
  <c r="N54" i="1"/>
  <c r="M54" i="1"/>
  <c r="O53" i="1"/>
  <c r="O53" i="1" a="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c r="O46" i="1" a="1"/>
  <c r="N46" i="1"/>
  <c r="M46" i="1"/>
  <c r="O45" i="1" a="1"/>
  <c r="O45" i="1" s="1"/>
  <c r="N45" i="1"/>
  <c r="M45" i="1"/>
  <c r="O44" i="1"/>
  <c r="O44" i="1" a="1"/>
  <c r="N44" i="1"/>
  <c r="M44" i="1"/>
  <c r="O43" i="1" a="1"/>
  <c r="O43" i="1" s="1"/>
  <c r="N43" i="1"/>
  <c r="M43" i="1"/>
  <c r="O42" i="1" a="1"/>
  <c r="O42" i="1" s="1"/>
  <c r="N42" i="1"/>
  <c r="M42" i="1"/>
  <c r="O41" i="1"/>
  <c r="O41" i="1" a="1"/>
  <c r="N41" i="1"/>
  <c r="M41" i="1"/>
  <c r="O40" i="1"/>
  <c r="O40" i="1" a="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c r="O31" i="1" a="1"/>
  <c r="N31" i="1"/>
  <c r="M31" i="1"/>
  <c r="O30" i="1" a="1"/>
  <c r="O30" i="1" s="1"/>
  <c r="N30" i="1"/>
  <c r="M30" i="1"/>
  <c r="O29" i="1" a="1"/>
  <c r="O29" i="1" s="1"/>
  <c r="N29" i="1"/>
  <c r="M29" i="1"/>
  <c r="O28" i="1" a="1"/>
  <c r="O28" i="1" s="1"/>
  <c r="N28" i="1"/>
  <c r="M28" i="1"/>
  <c r="O27" i="1" a="1"/>
  <c r="O27" i="1" s="1"/>
  <c r="N27" i="1"/>
  <c r="M27" i="1"/>
  <c r="O26" i="1" a="1"/>
  <c r="O26" i="1" s="1"/>
  <c r="N26" i="1"/>
  <c r="M26" i="1"/>
  <c r="O25" i="1" a="1"/>
  <c r="O25" i="1" s="1"/>
  <c r="N25" i="1"/>
  <c r="M25" i="1"/>
  <c r="O24" i="1" a="1"/>
  <c r="O24" i="1" s="1"/>
  <c r="M24" i="1"/>
  <c r="O23" i="1"/>
  <c r="O23" i="1" a="1"/>
  <c r="N23" i="1"/>
  <c r="M23" i="1"/>
  <c r="O22" i="1" a="1"/>
  <c r="O22" i="1" s="1"/>
  <c r="N22" i="1"/>
  <c r="M22" i="1"/>
  <c r="O21" i="1" a="1"/>
  <c r="O21" i="1" s="1"/>
  <c r="N21" i="1"/>
  <c r="M21" i="1"/>
  <c r="O20" i="1" a="1"/>
  <c r="O20" i="1" s="1"/>
  <c r="N20" i="1"/>
  <c r="M20" i="1"/>
  <c r="O19" i="1" a="1"/>
  <c r="O19" i="1" s="1"/>
  <c r="N19" i="1"/>
  <c r="M19" i="1"/>
  <c r="O18" i="1" a="1"/>
  <c r="O18" i="1" s="1"/>
  <c r="N18" i="1"/>
  <c r="M18" i="1"/>
  <c r="O17" i="1"/>
  <c r="O17" i="1" a="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c r="O10" i="1" a="1"/>
  <c r="N10" i="1"/>
  <c r="M10" i="1"/>
  <c r="O9" i="1" a="1"/>
  <c r="O9" i="1" s="1"/>
  <c r="N9" i="1"/>
  <c r="M9" i="1"/>
  <c r="O8" i="1"/>
  <c r="O8" i="1" a="1"/>
  <c r="N8" i="1"/>
  <c r="M8" i="1"/>
  <c r="O7" i="1" a="1"/>
  <c r="O7" i="1" s="1"/>
  <c r="N7" i="1"/>
  <c r="M7" i="1"/>
  <c r="O6" i="1" a="1"/>
  <c r="O6" i="1" s="1"/>
  <c r="N6" i="1"/>
  <c r="M6" i="1"/>
  <c r="O5" i="1"/>
  <c r="O5" i="1" a="1"/>
  <c r="N5" i="1"/>
  <c r="M5" i="1"/>
  <c r="O4" i="1" a="1"/>
  <c r="O4" i="1" s="1"/>
  <c r="N4" i="1"/>
  <c r="M4" i="1"/>
  <c r="O3" i="1" a="1"/>
  <c r="O3" i="1" s="1"/>
  <c r="N3" i="1"/>
  <c r="M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<sst xmlns="http://schemas.openxmlformats.org/spreadsheetml/2006/main" count="14882" uniqueCount="2549">
  <si>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</si>
  <si>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</si>
  <si>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</si>
  <si>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</si>
  <si>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</si>
  <si>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</si>
  <si>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</si>
  <si>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</si>
  <si>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</si>
  <si>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</si>
  <si>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</si>
  <si>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</si>
  <si>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</si>
  <si>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</si>
  <si>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</si>
  <si>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</si>
  <si>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</si>
  <si>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</si>
  <si>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</si>
  <si>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</si>
  <si>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</si>
  <si>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</si>
  <si>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</si>
  <si>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</si>
  <si>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</si>
  <si>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</si>
  <si>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</si>
  <si>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</si>
  <si>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</si>
  <si>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</si>
  <si>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</si>
  <si>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</si>
  <si>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</si>
  <si>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</si>
  <si>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</si>
  <si>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</si>
  <si>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</si>
  <si>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</si>
  <si>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</si>
  <si>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</si>
  <si>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</si>
  <si>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</si>
  <si>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</si>
  <si>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</si>
  <si>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</si>
  <si>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</si>
  <si>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</si>
  <si>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</si>
  <si>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</si>
  <si>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</si>
  <si>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</si>
  <si>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</si>
  <si>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</si>
  <si>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</si>
  <si>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</si>
  <si>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</si>
  <si>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</si>
  <si>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</si>
  <si>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</si>
  <si>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</si>
  <si>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</si>
  <si>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</si>
  <si>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</si>
  <si>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</si>
  <si>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</si>
  <si>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</si>
  <si>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</si>
  <si>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</si>
  <si>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</si>
  <si>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</si>
  <si>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</si>
  <si>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</si>
  <si>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</si>
  <si>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</si>
  <si>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</si>
  <si>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</si>
  <si>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</si>
  <si>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</si>
  <si>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</si>
  <si>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</si>
  <si>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</si>
  <si>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</si>
  <si>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</si>
  <si>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</si>
  <si>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</si>
  <si>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</si>
  <si>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</si>
  <si>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</si>
  <si>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</si>
  <si>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</si>
  <si>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</si>
  <si>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</si>
  <si>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</si>
  <si>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</si>
  <si>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</si>
  <si>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</si>
  <si>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</si>
  <si>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</si>
  <si>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</si>
  <si>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</si>
  <si>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</si>
  <si>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</si>
  <si>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</si>
  <si>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</si>
  <si>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</si>
  <si>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</si>
  <si>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</si>
  <si>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</si>
  <si>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</si>
  <si>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</si>
  <si>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</si>
  <si>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</si>
  <si>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</si>
  <si>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</si>
  <si>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</si>
  <si>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</si>
  <si>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</si>
  <si>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</si>
  <si>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</si>
  <si>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</si>
  <si>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</si>
  <si>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</si>
  <si>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</si>
  <si>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</si>
  <si>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</si>
  <si>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</si>
  <si>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</si>
  <si>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</si>
  <si>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</si>
  <si>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</si>
  <si>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</si>
  <si>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</si>
  <si>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</si>
  <si>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</si>
  <si>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</si>
  <si>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</si>
  <si>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</si>
  <si>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</si>
  <si>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</si>
  <si>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</si>
  <si>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</si>
  <si>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</si>
  <si>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</si>
  <si>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</si>
  <si>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</si>
  <si>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</si>
  <si>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</si>
  <si>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</si>
  <si>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</si>
  <si>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</si>
  <si>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</si>
  <si>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</si>
  <si>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</si>
  <si>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</si>
  <si>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</si>
  <si>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</si>
  <si>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</si>
  <si>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</si>
  <si>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</si>
  <si>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</si>
  <si>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</si>
  <si>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</si>
  <si>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</si>
  <si>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</si>
  <si>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</si>
  <si>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</si>
  <si>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</si>
  <si>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</si>
  <si>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</si>
  <si>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</si>
  <si>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</si>
  <si>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</si>
  <si>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</si>
  <si>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</si>
  <si>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</si>
  <si>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</si>
  <si>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</si>
  <si>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</si>
  <si>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</si>
  <si>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</si>
  <si>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</si>
  <si>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</si>
  <si>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</si>
  <si>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</si>
  <si>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</si>
  <si>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</si>
  <si>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</si>
  <si>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</si>
  <si>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</si>
  <si>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</si>
  <si>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</si>
  <si>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</si>
  <si>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</si>
  <si>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</si>
  <si>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</si>
  <si>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</si>
  <si>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</si>
  <si>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</si>
  <si>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</si>
  <si>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</si>
  <si>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</si>
  <si>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</si>
  <si>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</si>
  <si>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</si>
  <si>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</si>
  <si>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</si>
  <si>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</si>
  <si>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</si>
  <si>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</si>
  <si>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</si>
  <si>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</si>
  <si>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</si>
  <si>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</si>
  <si>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</si>
  <si>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</si>
  <si>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</si>
  <si>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</si>
  <si>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</si>
  <si>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</si>
  <si>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</si>
  <si>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</si>
  <si>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</si>
  <si>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</si>
  <si>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</si>
  <si>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</si>
  <si>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</si>
  <si>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</si>
  <si>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</si>
  <si>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</si>
  <si>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</si>
  <si>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</si>
  <si>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</si>
  <si>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</si>
  <si>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</si>
  <si>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</si>
  <si>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</si>
  <si>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</si>
  <si>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</si>
  <si>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</si>
  <si>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</si>
  <si>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</si>
  <si>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</si>
  <si>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</si>
  <si>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</si>
  <si>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</si>
  <si>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</si>
  <si>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</si>
  <si>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</si>
  <si>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</si>
  <si>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</si>
  <si>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</si>
  <si>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</si>
  <si>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</si>
  <si>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</si>
  <si>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</si>
  <si>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</si>
  <si>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</si>
  <si>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</si>
  <si>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</si>
  <si>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</si>
  <si>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</si>
  <si>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</si>
  <si>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</si>
  <si>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</si>
  <si>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</si>
  <si>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</si>
  <si>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</si>
  <si>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</si>
  <si>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</si>
  <si>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</si>
  <si>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</si>
  <si>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</si>
  <si>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</si>
  <si>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</si>
  <si>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</si>
  <si>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</si>
  <si>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</si>
  <si>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</si>
  <si>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</si>
  <si>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</si>
  <si>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</si>
  <si>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</si>
  <si>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</si>
  <si>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</si>
  <si>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</si>
  <si>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</si>
  <si>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</si>
  <si>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</si>
  <si>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</si>
  <si>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</si>
  <si>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</si>
  <si>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</si>
  <si>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</si>
  <si>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</si>
  <si>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</si>
  <si>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</si>
  <si>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</si>
  <si>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</si>
  <si>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</si>
  <si>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</si>
  <si>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</si>
  <si>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</si>
  <si>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</si>
  <si>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</si>
  <si>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</si>
  <si>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</si>
  <si>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</si>
  <si>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</si>
  <si>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</si>
  <si>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</si>
  <si>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</si>
  <si>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</si>
  <si>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</si>
  <si>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</si>
  <si>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</si>
  <si>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</si>
  <si>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</si>
  <si>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</si>
  <si>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</si>
  <si>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</si>
  <si>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</si>
  <si>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</si>
  <si>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</si>
  <si>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</si>
  <si>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</si>
  <si>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</si>
  <si>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</si>
  <si>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</si>
  <si>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</si>
  <si>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</si>
  <si>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</si>
  <si>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</si>
  <si>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</si>
  <si>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</si>
  <si>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</si>
  <si>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</si>
  <si>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</si>
  <si>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</si>
  <si>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</si>
  <si>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</si>
  <si>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</si>
  <si>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</si>
  <si>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</si>
  <si>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</si>
  <si>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</si>
  <si>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</si>
  <si>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</si>
  <si>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</si>
  <si>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</si>
  <si>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</si>
  <si>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</si>
  <si>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</si>
  <si>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</si>
  <si>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</si>
  <si>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</si>
  <si>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</si>
  <si>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</si>
  <si>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</si>
  <si>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</si>
  <si>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</si>
  <si>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</si>
  <si>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</si>
  <si>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</si>
  <si>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</si>
  <si>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</si>
  <si>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</si>
  <si>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</si>
  <si>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</si>
  <si>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</si>
  <si>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</si>
  <si>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</si>
  <si>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</si>
  <si>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</si>
  <si>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</si>
  <si>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</si>
  <si>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</si>
  <si>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</si>
  <si>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</si>
  <si>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</si>
  <si>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</si>
  <si>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</si>
  <si>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</si>
  <si>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</si>
  <si>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</si>
  <si>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</si>
  <si>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</si>
  <si>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</si>
  <si>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</si>
  <si>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</si>
  <si>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</si>
  <si>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</si>
  <si>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</si>
  <si>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</si>
  <si>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</si>
  <si>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</si>
  <si>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</si>
  <si>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</si>
  <si>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</si>
  <si>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</si>
  <si>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</si>
  <si>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</si>
  <si>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</si>
  <si>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</si>
  <si>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</si>
  <si>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</si>
  <si>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</si>
  <si>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</si>
  <si>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</si>
  <si>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</si>
  <si>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</si>
  <si>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</si>
  <si>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</si>
  <si>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</si>
  <si>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</si>
  <si>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</si>
  <si>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</si>
  <si>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</si>
  <si>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</si>
  <si>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</si>
  <si>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</si>
  <si>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</si>
  <si>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</si>
  <si>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</si>
  <si>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</si>
  <si>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</si>
  <si>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</si>
  <si>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</si>
  <si>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</si>
  <si>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</si>
  <si>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</si>
  <si>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</si>
  <si>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</si>
  <si>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</si>
  <si>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</si>
  <si>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</si>
  <si>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</si>
  <si>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</si>
  <si>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</si>
  <si>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</si>
  <si>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</si>
  <si>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</si>
  <si>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</si>
  <si>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</si>
  <si>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</si>
  <si>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</si>
  <si>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</si>
  <si>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</si>
  <si>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</si>
  <si>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</si>
  <si>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</si>
  <si>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</si>
  <si>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</si>
  <si>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</si>
  <si>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</si>
  <si>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</si>
  <si>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</si>
  <si>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</si>
  <si>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</si>
  <si>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</si>
  <si>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</si>
  <si>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</si>
  <si>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</si>
  <si>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</si>
  <si>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</si>
  <si>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</si>
  <si>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</si>
  <si>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</si>
  <si>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</si>
  <si>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</si>
  <si>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</si>
  <si>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</si>
  <si>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</si>
  <si>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</si>
  <si>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</si>
  <si>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</si>
  <si>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</si>
  <si>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</si>
  <si>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</si>
  <si>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</si>
  <si>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</si>
  <si>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</si>
  <si>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</si>
  <si>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</si>
  <si>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</si>
  <si>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</si>
  <si>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</si>
  <si>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</si>
  <si>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</si>
  <si>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</si>
  <si>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</si>
  <si>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</si>
  <si>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</si>
  <si>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</si>
  <si>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</si>
  <si>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</si>
  <si>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</si>
  <si>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</si>
  <si>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</si>
  <si>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</si>
  <si>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</si>
  <si>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</si>
  <si>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</si>
  <si>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</si>
  <si>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</si>
  <si>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</si>
  <si>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</si>
  <si>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</si>
  <si>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</si>
  <si>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</si>
  <si>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</si>
  <si>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</si>
  <si>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</si>
  <si>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</si>
  <si>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</si>
  <si>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</si>
  <si>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</si>
  <si>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</si>
  <si>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</si>
  <si>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</si>
  <si>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</si>
  <si>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</si>
  <si>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</si>
  <si>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</si>
  <si>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</si>
  <si>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</si>
  <si>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</si>
  <si>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</si>
  <si>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</si>
  <si>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</si>
  <si>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</si>
  <si>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</si>
  <si>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</si>
  <si>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</si>
  <si>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</si>
  <si>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</si>
  <si>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</si>
  <si>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</si>
  <si>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</si>
  <si>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</si>
  <si>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</si>
  <si>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</si>
  <si>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</si>
  <si>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</si>
  <si>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</si>
  <si>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</si>
  <si>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</si>
  <si>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</si>
  <si>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</si>
  <si>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</si>
  <si>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</si>
  <si>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</si>
  <si>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</si>
  <si>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</si>
  <si>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</si>
  <si>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</si>
  <si>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</si>
  <si>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</si>
  <si>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</si>
  <si>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</si>
  <si>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</si>
  <si>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</si>
  <si>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</si>
  <si>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</si>
  <si>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</si>
  <si>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</si>
  <si>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</si>
  <si>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</si>
  <si>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</si>
  <si>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</si>
  <si>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</si>
  <si>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</si>
  <si>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</si>
  <si>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</si>
  <si>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</si>
  <si>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</si>
  <si>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</si>
  <si>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</si>
  <si>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</si>
  <si>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</si>
  <si>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</si>
  <si>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</si>
  <si>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</si>
  <si>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</si>
  <si>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</si>
  <si>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</si>
  <si>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</si>
  <si>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</si>
  <si>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</si>
  <si>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</si>
  <si>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</si>
  <si>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</si>
  <si>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</si>
  <si>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</si>
  <si>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</si>
  <si>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</si>
  <si>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</si>
  <si>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</si>
  <si>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</si>
  <si>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</si>
  <si>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</si>
  <si>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</si>
  <si>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</si>
  <si>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</si>
  <si>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</si>
  <si>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</si>
  <si>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</si>
  <si>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</si>
  <si>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</si>
  <si>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</si>
  <si>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</si>
  <si>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</si>
  <si>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</si>
  <si>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</si>
  <si>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</si>
  <si>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</si>
  <si>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</si>
  <si>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</si>
  <si>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</si>
  <si>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</si>
  <si>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</si>
  <si>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</si>
  <si>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</si>
  <si>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</si>
  <si>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</si>
  <si>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</si>
  <si>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</si>
  <si>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</si>
  <si>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</si>
  <si>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</si>
  <si>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</si>
  <si>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</si>
  <si>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</si>
  <si>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</si>
  <si>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</si>
  <si>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</si>
  <si>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</si>
  <si>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</si>
  <si>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</si>
  <si>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</si>
  <si>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</si>
  <si>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</si>
  <si>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</si>
  <si>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</si>
  <si>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</si>
  <si>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</si>
  <si>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</si>
  <si>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</si>
  <si>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</si>
  <si>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</si>
  <si>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</si>
  <si>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</si>
  <si>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</si>
  <si>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</si>
  <si>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</si>
  <si>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</si>
  <si>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</si>
  <si>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</si>
  <si>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</si>
  <si>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</si>
  <si>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</si>
  <si>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</si>
  <si>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</si>
  <si>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</si>
  <si>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</si>
  <si>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</si>
  <si>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</si>
  <si>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</si>
  <si>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</si>
  <si>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</si>
  <si>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</si>
  <si>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</si>
  <si>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</si>
  <si>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</si>
  <si>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</si>
  <si>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</si>
  <si>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</si>
  <si>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</si>
  <si>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</si>
  <si>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</si>
  <si>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</si>
  <si>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</si>
  <si>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</si>
  <si>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</si>
  <si>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</si>
  <si>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</si>
  <si>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</si>
  <si>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</si>
  <si>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</si>
  <si>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</si>
  <si>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</si>
  <si>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</si>
  <si>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</si>
  <si>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</si>
  <si>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</si>
  <si>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</si>
  <si>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</si>
  <si>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</si>
  <si>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</si>
  <si>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</si>
  <si>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</si>
  <si>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</si>
  <si>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</si>
  <si>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</si>
  <si>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</si>
  <si>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</si>
  <si>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</si>
  <si>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</si>
  <si>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</si>
  <si>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</si>
  <si>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</si>
  <si>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</si>
  <si>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</si>
  <si>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</si>
  <si>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</si>
  <si>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</si>
  <si>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</si>
  <si>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</si>
  <si>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</si>
  <si>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</si>
  <si>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</si>
  <si>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</si>
  <si>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</si>
  <si>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</si>
  <si>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</si>
  <si>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</si>
  <si>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</si>
  <si>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</si>
  <si>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</si>
  <si>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</si>
  <si>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</si>
  <si>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</si>
  <si>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</si>
  <si>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</si>
  <si>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</si>
  <si>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</si>
  <si>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</si>
  <si>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</si>
  <si>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</si>
  <si>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</si>
  <si>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</si>
  <si>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</si>
  <si>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</si>
  <si>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</si>
  <si>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</si>
  <si>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</si>
  <si>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</si>
  <si>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</si>
  <si>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</si>
  <si>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</si>
  <si>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</si>
  <si>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</si>
  <si>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</si>
  <si>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</si>
  <si>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</si>
  <si>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</si>
  <si>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</si>
  <si>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</si>
  <si>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</si>
  <si>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</si>
  <si>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</si>
  <si>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</si>
  <si>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</si>
  <si>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</si>
  <si>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</si>
  <si>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</si>
  <si>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</si>
  <si>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</si>
  <si>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</si>
  <si>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</si>
  <si>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</si>
  <si>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</si>
  <si>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</si>
  <si>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</si>
  <si>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</si>
  <si>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</si>
  <si>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</si>
  <si>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</si>
  <si>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</si>
  <si>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</si>
  <si>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</si>
  <si>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</si>
  <si>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</si>
  <si>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</si>
  <si>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</si>
  <si>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</si>
  <si>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</si>
  <si>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</si>
  <si>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</si>
  <si>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</si>
  <si>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</si>
  <si>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</si>
  <si>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</si>
  <si>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</si>
  <si>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</si>
  <si>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</si>
  <si>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</si>
  <si>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</si>
  <si>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</si>
  <si>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</si>
  <si>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</si>
  <si>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</si>
  <si>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</si>
  <si>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</si>
  <si>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</si>
  <si>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</si>
  <si>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</si>
  <si>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</si>
  <si>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</si>
  <si>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</si>
  <si>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</si>
  <si>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</si>
  <si>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</si>
  <si>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</si>
  <si>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</si>
  <si>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</si>
  <si>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</si>
  <si>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</si>
  <si>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</si>
  <si>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</si>
  <si>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</si>
  <si>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</si>
  <si>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</si>
  <si>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</si>
  <si>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</si>
  <si>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</si>
  <si>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</si>
  <si>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</si>
  <si>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</si>
  <si>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</si>
  <si>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</si>
  <si>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</si>
  <si>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</si>
  <si>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</si>
  <si>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</si>
  <si>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</si>
  <si>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</si>
  <si>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</si>
  <si>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</si>
  <si>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</si>
  <si>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</si>
  <si>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</si>
  <si>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</si>
  <si>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</si>
  <si>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</si>
  <si>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</si>
  <si>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</si>
  <si>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</si>
  <si>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</si>
  <si>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</si>
  <si>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</si>
  <si>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</si>
  <si>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</si>
  <si>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</si>
  <si>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</si>
  <si>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</si>
  <si>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</si>
  <si>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</si>
  <si>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</si>
  <si>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</si>
  <si>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</si>
  <si>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</si>
  <si>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</si>
  <si>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</si>
  <si>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</si>
  <si>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</si>
  <si>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</si>
  <si>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</si>
  <si>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</si>
  <si>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</si>
  <si>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</si>
  <si>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</si>
  <si>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</si>
  <si>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</si>
  <si>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</si>
  <si>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</si>
  <si>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</si>
  <si>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</si>
  <si>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</si>
  <si>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</si>
  <si>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</si>
  <si>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</si>
  <si>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</si>
  <si>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</si>
  <si>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</si>
  <si>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</si>
  <si>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</si>
  <si>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</si>
  <si>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</si>
  <si>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</si>
  <si>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</si>
  <si>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</si>
  <si>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</si>
  <si>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</si>
  <si>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</si>
  <si>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</si>
  <si>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</si>
  <si>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</si>
  <si>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</si>
  <si>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</si>
  <si>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</si>
  <si>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</si>
  <si>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</si>
  <si>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</si>
  <si>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</si>
  <si>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</si>
  <si>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</si>
  <si>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</si>
  <si>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</si>
  <si>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</si>
  <si>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</si>
  <si>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</si>
  <si>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</si>
  <si>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</si>
  <si>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</si>
  <si>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</si>
  <si>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</si>
  <si>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</si>
  <si>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</si>
  <si>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</si>
  <si>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</si>
  <si>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</si>
  <si>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</si>
  <si>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</si>
  <si>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</si>
  <si>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</si>
  <si>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</si>
  <si>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</si>
  <si>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</si>
  <si>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</si>
  <si>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</si>
  <si>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</si>
  <si>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</si>
  <si>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</si>
  <si>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</si>
  <si>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</si>
  <si>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</si>
  <si>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</si>
  <si>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</si>
  <si>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</si>
  <si>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</si>
  <si>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</si>
  <si>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</si>
  <si>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</si>
  <si>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</si>
  <si>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</si>
  <si>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</si>
  <si>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</si>
  <si>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</si>
  <si>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</si>
  <si>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</si>
  <si>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</si>
  <si>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</si>
  <si>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</si>
  <si>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</si>
  <si>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</si>
  <si>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</si>
  <si>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</si>
  <si>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</si>
  <si>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</si>
  <si>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</si>
  <si>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</si>
  <si>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</si>
  <si>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</si>
  <si>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</si>
  <si>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</si>
  <si>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</si>
  <si>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</si>
  <si>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</si>
  <si>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</si>
  <si>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</si>
  <si>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</si>
  <si>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</si>
  <si>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</si>
  <si>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</si>
  <si>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</si>
  <si>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</si>
  <si>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</si>
  <si>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</si>
  <si>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</si>
  <si>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</si>
  <si>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</si>
  <si>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</si>
  <si>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</si>
  <si>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</si>
  <si>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</si>
  <si>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</si>
  <si>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</si>
  <si>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</si>
  <si>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</si>
  <si>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</si>
  <si>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</si>
  <si>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</si>
  <si>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</si>
  <si>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</si>
  <si>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</si>
  <si>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</si>
  <si>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</si>
  <si>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</si>
  <si>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</si>
  <si>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</si>
  <si>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</si>
  <si>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</si>
  <si>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</si>
  <si>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</si>
  <si>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</si>
  <si>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</si>
  <si>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</si>
  <si>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</si>
  <si>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</si>
  <si>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</si>
  <si>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</si>
  <si>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</si>
  <si>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</si>
  <si>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</si>
  <si>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</si>
  <si>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</si>
  <si>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</si>
  <si>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</si>
  <si>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</si>
  <si>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</si>
  <si>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</si>
  <si>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</si>
  <si>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</si>
  <si>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</si>
  <si>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</si>
  <si>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</si>
  <si>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</si>
  <si>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</si>
  <si>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</si>
  <si>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</si>
  <si>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</si>
  <si>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</si>
  <si>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</si>
  <si>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</si>
  <si>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</si>
  <si>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</si>
  <si>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</si>
  <si>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</si>
  <si>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</si>
  <si>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</si>
  <si>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</si>
  <si>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</si>
  <si>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</si>
  <si>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</si>
  <si>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</si>
  <si>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</si>
  <si>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</si>
  <si>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</si>
  <si>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</si>
  <si>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</si>
  <si>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</si>
  <si>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</si>
  <si>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</si>
  <si>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</si>
  <si>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</si>
  <si>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</si>
  <si>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</si>
  <si>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</si>
  <si>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</si>
  <si>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</si>
  <si>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</si>
  <si>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</si>
  <si>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</si>
  <si>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</si>
  <si>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</si>
  <si>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</si>
  <si>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</si>
  <si>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</si>
  <si>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</si>
  <si>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</si>
  <si>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</si>
  <si>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</si>
  <si>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</si>
  <si>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</si>
  <si>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</si>
  <si>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</si>
  <si>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</si>
  <si>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</si>
  <si>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</si>
  <si>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</si>
  <si>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</si>
  <si>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</si>
  <si>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</si>
  <si>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</si>
  <si>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</si>
  <si>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</si>
  <si>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</si>
  <si>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</si>
  <si>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</si>
  <si>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</si>
  <si>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</si>
  <si>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</si>
  <si>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</si>
  <si>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</si>
  <si>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</si>
  <si>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</si>
  <si>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</si>
  <si>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</si>
  <si>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</si>
  <si>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</si>
  <si>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</si>
  <si>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</si>
  <si>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</si>
  <si>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</si>
  <si>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</si>
  <si>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</si>
  <si>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</si>
  <si>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</si>
  <si>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</si>
  <si>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</si>
  <si>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</si>
  <si>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</si>
  <si>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</si>
  <si>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</si>
  <si>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</si>
  <si>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</si>
  <si>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</si>
  <si>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</si>
  <si>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</si>
  <si>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</si>
  <si>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</si>
  <si>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</si>
  <si>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</si>
  <si>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</si>
  <si>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</si>
  <si>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</si>
  <si>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</si>
  <si>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</si>
  <si>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</si>
  <si>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</si>
  <si>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</si>
  <si>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</si>
  <si>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</si>
  <si>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</si>
  <si>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</si>
  <si>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</si>
  <si>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</si>
  <si>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</si>
  <si>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</si>
  <si>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</si>
  <si>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</si>
  <si>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</si>
  <si>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</si>
  <si>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</si>
  <si>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</si>
  <si>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</si>
  <si>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</si>
  <si>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</si>
  <si>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</si>
  <si>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</si>
  <si>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</si>
  <si>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</si>
  <si>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</si>
  <si>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</si>
  <si>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</si>
  <si>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</si>
  <si>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</si>
  <si>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</si>
  <si>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</si>
  <si>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</si>
  <si>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</si>
  <si>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</si>
  <si>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</si>
  <si>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</si>
  <si>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</si>
  <si>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</si>
  <si>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</si>
  <si>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</si>
  <si>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</si>
  <si>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</si>
  <si>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</si>
  <si>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</si>
  <si>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</si>
  <si>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</si>
  <si>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</si>
  <si>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</si>
  <si>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</si>
  <si>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</si>
  <si>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</si>
  <si>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</si>
  <si>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</si>
  <si>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</si>
  <si>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</si>
  <si>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</si>
  <si>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</si>
  <si>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</si>
  <si>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</si>
  <si>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</si>
  <si>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</si>
  <si>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</si>
  <si>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</si>
  <si>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</si>
  <si>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</si>
  <si>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</si>
  <si>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</si>
  <si>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</si>
  <si>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</si>
  <si>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</si>
  <si>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</si>
  <si>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</si>
  <si>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</si>
  <si>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</si>
  <si>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</si>
  <si>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</si>
  <si>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</si>
  <si>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</si>
  <si>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</si>
  <si>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</si>
  <si>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</si>
  <si>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</si>
  <si>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</si>
  <si>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</si>
  <si>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</si>
  <si>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</si>
  <si>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</si>
  <si>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</si>
  <si>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</si>
  <si>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</si>
  <si>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</si>
  <si>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</si>
  <si>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</si>
  <si>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</si>
  <si>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</si>
  <si>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</si>
  <si>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</si>
  <si>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</si>
  <si>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</si>
  <si>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</si>
  <si>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</si>
  <si>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</si>
  <si>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</si>
  <si>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</si>
  <si>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</si>
  <si>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</si>
  <si>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</si>
  <si>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</si>
  <si>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</si>
  <si>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</si>
  <si>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</si>
  <si>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</si>
  <si>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</si>
  <si>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</si>
  <si>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</si>
  <si>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</si>
  <si>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</si>
  <si>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</si>
  <si>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</si>
  <si>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</si>
  <si>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</si>
  <si>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</si>
  <si>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</si>
  <si>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</si>
  <si>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</si>
  <si>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</si>
  <si>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</si>
  <si>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</si>
  <si>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</si>
  <si>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</si>
  <si>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</si>
  <si>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</si>
  <si>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</si>
  <si>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</si>
  <si>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</si>
  <si>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</si>
  <si>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</si>
  <si>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</si>
  <si>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</si>
  <si>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</si>
  <si>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</si>
  <si>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</si>
  <si>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</si>
  <si>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</si>
  <si>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</si>
  <si>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</si>
  <si>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</si>
  <si>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</si>
  <si>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</si>
  <si>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</si>
  <si>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</si>
  <si>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</si>
  <si>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</si>
  <si>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</si>
  <si>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</si>
  <si>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</si>
  <si>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</si>
  <si>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</si>
  <si>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</si>
  <si>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</si>
  <si>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</si>
  <si>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</si>
  <si>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</si>
  <si>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</si>
  <si>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</si>
  <si>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</si>
  <si>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</si>
  <si>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</si>
  <si>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</si>
  <si>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</si>
  <si>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</si>
  <si>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</si>
  <si>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</si>
  <si>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</si>
  <si>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</si>
  <si>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</si>
  <si>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</si>
  <si>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</si>
  <si>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</si>
  <si>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</si>
  <si>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</si>
  <si>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</si>
  <si>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</si>
  <si>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</si>
  <si>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</si>
  <si>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</si>
  <si>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</si>
  <si>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</si>
  <si>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</si>
  <si>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</si>
  <si>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</si>
  <si>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</si>
  <si>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</si>
  <si>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</si>
  <si>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</si>
  <si>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</si>
  <si>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</si>
  <si>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</si>
  <si>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</si>
  <si>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</si>
  <si>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</si>
  <si>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</si>
  <si>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</si>
  <si>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</si>
  <si>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</si>
  <si>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</si>
  <si>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</si>
  <si>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</si>
  <si>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</si>
  <si>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</si>
  <si>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</si>
  <si>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</si>
  <si>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</si>
  <si>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</si>
  <si>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</si>
  <si>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</si>
  <si>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</si>
  <si>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</si>
  <si>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</si>
  <si>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</si>
  <si>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</si>
  <si>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</si>
  <si>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</si>
  <si>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</si>
  <si>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</si>
  <si>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</si>
  <si>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</si>
  <si>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</si>
  <si>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</si>
  <si>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</si>
  <si>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</si>
  <si>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</si>
  <si>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</si>
  <si>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</si>
  <si>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</si>
  <si>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</si>
  <si>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</si>
  <si>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</si>
  <si>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</si>
  <si>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</si>
  <si>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</si>
  <si>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</si>
  <si>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</si>
  <si>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</si>
  <si>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</si>
  <si>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</si>
  <si>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</si>
  <si>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</si>
  <si>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</si>
  <si>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</si>
  <si>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</si>
  <si>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</si>
  <si>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</si>
  <si>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</si>
  <si>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</si>
  <si>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</si>
  <si>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</si>
  <si>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</si>
  <si>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</si>
  <si>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</si>
  <si>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</si>
  <si>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</si>
  <si>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</si>
  <si>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</si>
  <si>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</si>
  <si>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</si>
  <si>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</si>
  <si>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</si>
  <si>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</si>
  <si>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</si>
  <si>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</si>
  <si>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</si>
  <si>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</si>
  <si>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</si>
  <si>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</si>
  <si>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</si>
  <si>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</si>
  <si>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</si>
  <si>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</si>
  <si>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</si>
  <si>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</si>
  <si>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</si>
  <si>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</si>
  <si>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</si>
  <si>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</si>
  <si>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</si>
  <si>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</si>
  <si>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</si>
  <si>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</si>
  <si>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</si>
  <si>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</si>
  <si>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</si>
  <si>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</si>
  <si>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</si>
  <si>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</si>
  <si>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</si>
  <si>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</si>
  <si>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</si>
  <si>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</si>
  <si>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</si>
  <si>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</si>
  <si>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</si>
  <si>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</si>
  <si>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</si>
  <si>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</si>
  <si>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</si>
  <si>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</si>
  <si>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</si>
  <si>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</si>
  <si>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</si>
  <si>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</si>
  <si>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</si>
  <si>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</si>
  <si>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</si>
  <si>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</si>
  <si>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</si>
  <si>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</si>
  <si>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</si>
  <si>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</si>
  <si>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</si>
  <si>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</si>
  <si>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</si>
  <si>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</si>
  <si>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</si>
  <si>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</si>
  <si>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</si>
  <si>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</si>
  <si>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</si>
  <si>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</si>
  <si>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</si>
  <si>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</si>
  <si>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</si>
  <si>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</si>
  <si>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</si>
  <si>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</si>
  <si>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</si>
  <si>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</si>
  <si>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</si>
  <si>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</si>
  <si>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</si>
  <si>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</si>
  <si>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</si>
  <si>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</si>
  <si>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</si>
  <si>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</si>
  <si>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</si>
  <si>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</si>
  <si>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</si>
  <si>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</si>
  <si>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</si>
  <si>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</si>
  <si>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</si>
  <si>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</si>
  <si>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</si>
  <si>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</si>
  <si>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</si>
  <si>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</si>
  <si>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</si>
  <si>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</si>
  <si>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</si>
  <si>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</si>
  <si>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</si>
  <si>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</si>
  <si>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</si>
  <si>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</si>
  <si>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</si>
  <si>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</si>
  <si>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</si>
  <si>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</si>
  <si>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</si>
  <si>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</si>
  <si>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</si>
  <si>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</si>
  <si>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</si>
  <si>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</si>
  <si>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</si>
  <si>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</si>
  <si>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</si>
  <si>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</si>
  <si>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</si>
  <si>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</si>
  <si>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</si>
  <si>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</si>
  <si>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</si>
  <si>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</si>
  <si>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</si>
  <si>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</si>
  <si>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</si>
  <si>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</si>
  <si>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</si>
  <si>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</si>
  <si>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</si>
  <si>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</si>
  <si>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</si>
  <si>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</si>
  <si>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</si>
  <si>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</si>
  <si>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</si>
  <si>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</si>
  <si>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</si>
  <si>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</si>
  <si>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</si>
  <si>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</si>
  <si>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</si>
  <si>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</si>
  <si>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</si>
  <si>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</si>
  <si>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</si>
  <si>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</si>
  <si>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</si>
  <si>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</si>
  <si>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</si>
  <si>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</si>
  <si>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</si>
  <si>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</si>
  <si>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</si>
  <si>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</si>
  <si>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</si>
  <si>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</si>
  <si>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</si>
  <si>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</si>
  <si>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</si>
  <si>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</si>
  <si>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</si>
  <si>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</si>
  <si>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</si>
  <si>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</si>
  <si>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</si>
  <si>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</si>
  <si>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</si>
  <si>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</si>
  <si>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</si>
  <si>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</si>
  <si>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</si>
  <si>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</si>
  <si>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</si>
  <si>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</si>
  <si>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</si>
  <si>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</si>
  <si>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</si>
  <si>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</si>
  <si>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</si>
  <si>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</si>
  <si>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</si>
  <si>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</si>
  <si>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</si>
  <si>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</si>
  <si>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</si>
  <si>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</si>
  <si>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</si>
  <si>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</si>
  <si>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</si>
  <si>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</si>
  <si>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</si>
  <si>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</si>
  <si>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</si>
  <si>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</si>
  <si>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</si>
  <si>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</si>
  <si>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</si>
  <si>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</si>
  <si>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</si>
  <si>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</si>
  <si>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</si>
  <si>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</si>
  <si>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</si>
  <si>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</si>
  <si>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</si>
  <si>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</si>
  <si>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</si>
  <si>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</si>
  <si>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</si>
  <si>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</si>
  <si>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</si>
  <si>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</si>
  <si>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</si>
  <si>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</si>
  <si>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</si>
  <si>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</si>
  <si>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</si>
  <si>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</si>
  <si>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</si>
  <si>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</si>
  <si>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</si>
  <si>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</si>
  <si>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</si>
  <si>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</si>
  <si>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</si>
  <si>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</si>
  <si>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</si>
  <si>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</si>
  <si>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</si>
  <si>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</si>
  <si>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</si>
  <si>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</si>
  <si>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</si>
  <si>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</si>
  <si>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</si>
  <si>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</si>
  <si>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</si>
  <si>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</si>
  <si>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</si>
  <si>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</si>
  <si>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</si>
  <si>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</si>
  <si>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</si>
  <si>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</si>
  <si>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</si>
  <si>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</si>
  <si>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</si>
  <si>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</si>
  <si>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</si>
  <si>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</si>
  <si>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</si>
  <si>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</si>
  <si>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</si>
  <si>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</si>
  <si>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</si>
  <si>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</si>
  <si>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</si>
  <si>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</si>
  <si>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</si>
  <si>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</si>
  <si>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</si>
  <si>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</si>
  <si>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</si>
  <si>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</si>
  <si>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</si>
  <si>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</si>
  <si>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</si>
  <si>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</si>
  <si>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</si>
  <si>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</si>
  <si>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</si>
  <si>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</si>
  <si>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</si>
  <si>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</si>
  <si>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</si>
  <si>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</si>
  <si>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</si>
  <si>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</si>
  <si>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</si>
  <si>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</si>
  <si>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</si>
  <si>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</si>
  <si>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</si>
  <si>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</si>
  <si>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</si>
  <si>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</si>
  <si>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</si>
  <si>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</si>
  <si>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</si>
  <si>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</si>
  <si>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</si>
  <si>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</si>
  <si>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</si>
  <si>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</si>
  <si>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</si>
  <si>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</si>
  <si>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</si>
  <si>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</si>
  <si>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</si>
  <si>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</si>
  <si>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</si>
  <si>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</si>
  <si>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</si>
  <si>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</si>
  <si>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</si>
  <si>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</si>
  <si>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</si>
  <si>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</si>
  <si>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</si>
  <si>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</si>
  <si>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</si>
  <si>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</si>
  <si>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</si>
  <si>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</si>
  <si>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</si>
  <si>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</si>
  <si>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</si>
  <si>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</si>
  <si>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</si>
  <si>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</si>
  <si>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</si>
  <si>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</si>
  <si>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</si>
  <si>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</si>
  <si>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</si>
  <si>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</si>
  <si>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</si>
  <si>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</si>
  <si>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</si>
  <si>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</si>
  <si>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</si>
  <si>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</si>
  <si>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</si>
  <si>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</si>
  <si>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</si>
  <si>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</si>
  <si>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</si>
  <si>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</si>
  <si>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</si>
  <si>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</si>
  <si>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</si>
  <si>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</si>
  <si>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</si>
  <si>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</si>
  <si>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</si>
  <si>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</si>
  <si>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</si>
  <si>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</si>
  <si>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</si>
  <si>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</si>
  <si>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</si>
  <si>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</si>
  <si>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</si>
  <si>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</si>
  <si>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</si>
  <si>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</si>
  <si>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</si>
  <si>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</si>
  <si>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</si>
  <si>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</si>
  <si>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</si>
  <si>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</si>
  <si>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</si>
  <si>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</si>
  <si>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</si>
  <si>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</si>
  <si>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</si>
  <si>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</si>
  <si>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</si>
  <si>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</si>
  <si>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</si>
  <si>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</si>
  <si>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</si>
  <si>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</si>
  <si>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</si>
  <si>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</si>
  <si>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</si>
  <si>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</si>
  <si>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</si>
  <si>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</si>
  <si>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</si>
  <si>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</si>
  <si>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</si>
  <si>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</si>
  <si>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</si>
  <si>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</si>
  <si>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</si>
  <si>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</si>
  <si>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</si>
  <si>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</si>
  <si>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</si>
  <si>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</si>
  <si>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</si>
  <si>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</si>
  <si>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</si>
  <si>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</si>
  <si>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</si>
  <si>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</si>
  <si>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</si>
  <si>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</si>
  <si>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</si>
  <si>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</si>
  <si>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</si>
  <si>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</si>
  <si>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</si>
  <si>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</si>
  <si>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</si>
  <si>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</si>
  <si>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</si>
  <si>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</si>
  <si>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</si>
  <si>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</si>
  <si>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</si>
  <si>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</si>
  <si>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</si>
  <si>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</si>
  <si>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</si>
  <si>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</si>
  <si>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</si>
  <si>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</si>
  <si>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</si>
  <si>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</si>
  <si>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</si>
  <si>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</si>
  <si>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</si>
  <si>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</si>
  <si>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</si>
  <si>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</si>
  <si>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</si>
  <si>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</si>
  <si>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</si>
  <si>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</si>
  <si>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</si>
  <si>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</si>
  <si>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</si>
  <si>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</si>
  <si>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</si>
  <si>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</si>
  <si>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</si>
  <si>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</si>
  <si>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</si>
  <si>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</si>
  <si>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</si>
  <si>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</si>
  <si>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</si>
  <si>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</si>
  <si>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</si>
  <si>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</si>
  <si>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</si>
  <si>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</si>
  <si>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</si>
  <si>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</si>
  <si>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</si>
  <si>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</si>
  <si>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</si>
  <si>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</si>
  <si>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</si>
  <si>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</si>
  <si>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</si>
  <si>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</si>
  <si>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</si>
  <si>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</si>
  <si>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</si>
  <si>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</si>
  <si>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</si>
  <si>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</si>
  <si>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</si>
  <si>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</si>
  <si>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</si>
  <si>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</si>
  <si>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</si>
  <si>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</si>
  <si>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</si>
  <si>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</si>
  <si>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</si>
  <si>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</si>
  <si>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</si>
  <si>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</si>
  <si>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</si>
  <si>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</si>
  <si>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</si>
  <si>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</si>
  <si>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</si>
  <si>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</si>
  <si>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</si>
  <si>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</si>
  <si>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</si>
  <si>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</si>
  <si>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</si>
  <si>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</si>
  <si>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</si>
  <si>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</si>
  <si>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</si>
  <si>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</si>
  <si>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</si>
  <si>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</si>
  <si>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</si>
  <si>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</si>
  <si>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</si>
  <si>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</si>
  <si>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</si>
  <si>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</si>
  <si>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</si>
  <si>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</si>
  <si>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</si>
  <si>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</si>
  <si>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</si>
  <si>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</si>
  <si>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</si>
  <si>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</si>
  <si>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</si>
  <si>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</si>
  <si>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</si>
  <si>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</si>
  <si>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</si>
  <si>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</si>
  <si>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</si>
  <si>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</si>
  <si>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</si>
  <si>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</si>
  <si>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</si>
  <si>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</si>
  <si>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</si>
  <si>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</si>
  <si>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</si>
  <si>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</si>
  <si>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</si>
  <si>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</si>
  <si>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</si>
  <si>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</si>
  <si>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</si>
  <si>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</si>
  <si>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</si>
  <si>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</si>
  <si>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</si>
  <si>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</si>
  <si>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</si>
  <si>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</si>
  <si>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</si>
  <si>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</si>
  <si>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</si>
  <si>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</si>
  <si>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</si>
  <si>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</si>
  <si>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</si>
  <si>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</si>
  <si>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</si>
  <si>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</si>
  <si>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</si>
  <si>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</si>
  <si>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</si>
  <si>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</si>
  <si>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</si>
  <si>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</si>
  <si>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</si>
  <si>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</si>
  <si>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</si>
  <si>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</si>
  <si>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</si>
  <si>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</si>
  <si>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</si>
  <si>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</si>
  <si>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</si>
  <si>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</si>
  <si>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</si>
  <si>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</si>
  <si>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</si>
  <si>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</si>
  <si>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</si>
  <si>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</si>
  <si>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</si>
  <si>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</si>
  <si>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</si>
  <si>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</si>
  <si>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</si>
  <si>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</si>
  <si>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</si>
  <si>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</si>
  <si>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</si>
  <si>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</si>
  <si>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</si>
  <si>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</si>
  <si>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</si>
  <si>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</si>
  <si>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</si>
  <si>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</si>
  <si>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</si>
  <si>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</si>
  <si>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</si>
  <si>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</si>
  <si>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</si>
  <si>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</si>
  <si>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</si>
  <si>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</si>
  <si>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</si>
  <si>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</si>
  <si>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</si>
  <si>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</si>
  <si>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</si>
  <si>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</si>
  <si>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</si>
  <si>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</si>
  <si>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</si>
  <si>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</si>
  <si>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</si>
  <si>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</si>
  <si>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</si>
  <si>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</si>
  <si>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</si>
  <si>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</si>
  <si>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</si>
  <si>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</si>
  <si>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</si>
  <si>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</si>
  <si>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</si>
  <si>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</si>
  <si>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</si>
  <si>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</si>
  <si>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</si>
  <si>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</si>
  <si>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</si>
  <si>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</si>
  <si>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</si>
  <si>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</si>
  <si>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</si>
  <si>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</si>
  <si>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</si>
  <si>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</si>
  <si>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</si>
  <si>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</si>
  <si>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</si>
  <si>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</si>
  <si>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</si>
  <si>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</si>
  <si>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</si>
  <si>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</si>
  <si>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</si>
  <si>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</si>
  <si>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</si>
  <si>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</si>
  <si>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</si>
  <si>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</si>
  <si>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</si>
  <si>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</si>
  <si>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</si>
  <si>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</si>
  <si>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</si>
  <si>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</si>
  <si>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</si>
  <si>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</si>
  <si>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</si>
  <si>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</si>
  <si>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</si>
  <si>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</si>
  <si>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</si>
  <si>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</si>
  <si>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</si>
  <si>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</si>
  <si>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</si>
  <si>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</si>
  <si>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</si>
  <si>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</si>
  <si>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</si>
  <si>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</si>
  <si>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</si>
  <si>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</si>
  <si>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</si>
  <si>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</si>
  <si>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</si>
  <si>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</si>
  <si>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</si>
  <si>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</si>
  <si>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</si>
  <si>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</si>
  <si>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</si>
  <si>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</si>
  <si>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</si>
  <si>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</si>
  <si>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</si>
  <si>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</si>
  <si>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</si>
  <si>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</si>
  <si>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</si>
  <si>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</si>
  <si>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</si>
  <si>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</si>
  <si>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</si>
  <si>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</si>
  <si>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</si>
  <si>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</si>
  <si>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</si>
  <si>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</si>
  <si>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</si>
  <si>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</si>
  <si>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</si>
  <si>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</si>
  <si>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</si>
  <si>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</si>
  <si>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</si>
  <si>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</si>
  <si>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</si>
  <si>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</si>
  <si>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</si>
  <si>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</si>
  <si>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</si>
  <si>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</si>
  <si>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</si>
  <si>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</si>
  <si>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</si>
  <si>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</si>
  <si>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</si>
  <si>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</si>
  <si>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</si>
  <si>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</si>
  <si>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</si>
  <si>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</si>
  <si>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</si>
  <si>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</si>
  <si>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</si>
  <si>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</si>
  <si>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</si>
  <si>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</si>
  <si>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</si>
  <si>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</si>
  <si>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</si>
  <si>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</si>
  <si>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</si>
  <si>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</si>
  <si>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</si>
  <si>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</si>
  <si>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</si>
  <si>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</si>
  <si>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</si>
  <si>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</si>
  <si>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</si>
  <si>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</si>
  <si>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</si>
  <si>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</si>
  <si>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</si>
  <si>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</si>
  <si>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</si>
  <si>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</si>
  <si>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</si>
  <si>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</si>
  <si>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</si>
  <si>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</si>
  <si>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</si>
  <si>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</si>
  <si>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</si>
  <si>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</si>
  <si>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</si>
  <si>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</si>
  <si>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</si>
  <si>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</si>
  <si>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</si>
  <si>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</si>
  <si>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</si>
  <si>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</si>
  <si>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</si>
  <si>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</si>
  <si>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</si>
  <si>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</si>
  <si>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</si>
  <si>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</si>
  <si>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</si>
  <si>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</si>
  <si>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</si>
  <si>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</si>
  <si>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</si>
  <si>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</si>
  <si>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</si>
  <si>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</si>
  <si>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</si>
  <si>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</si>
  <si>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</si>
  <si>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</si>
  <si>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</si>
  <si>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</si>
  <si>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</si>
  <si>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</si>
  <si>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</si>
  <si>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</si>
  <si>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</si>
  <si>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</si>
  <si>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</si>
  <si>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</si>
  <si>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</si>
  <si>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</si>
  <si>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</si>
  <si>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</si>
  <si>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</si>
  <si>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</si>
  <si>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</si>
  <si>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</si>
  <si>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</si>
  <si>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</si>
  <si>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</si>
  <si>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</si>
  <si>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</si>
  <si>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</si>
  <si>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</si>
  <si>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</si>
  <si>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</si>
  <si>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</si>
  <si>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</si>
  <si>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</si>
  <si>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</si>
  <si>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</si>
  <si>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</si>
  <si>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</si>
  <si>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</si>
  <si>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</si>
  <si>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</si>
  <si>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</si>
  <si>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</si>
  <si>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</si>
  <si>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</si>
  <si>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</si>
  <si>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</si>
  <si>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</si>
  <si>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</si>
  <si>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</si>
  <si>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</si>
  <si>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</si>
  <si>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</si>
  <si>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</si>
  <si>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</si>
  <si>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</si>
  <si>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</si>
  <si>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</si>
  <si>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</si>
  <si>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</si>
  <si>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</si>
  <si>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</si>
  <si>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</si>
  <si>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</si>
  <si>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</si>
  <si>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</si>
  <si>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</si>
  <si>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</si>
  <si>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</si>
  <si>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</si>
  <si>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</si>
  <si>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</si>
  <si>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</si>
  <si>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</si>
  <si>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</si>
  <si>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</si>
  <si>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</si>
  <si>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</si>
  <si>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</si>
  <si>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</si>
  <si>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</si>
  <si>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</si>
  <si>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</si>
  <si>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</si>
  <si>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</si>
  <si>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</si>
  <si>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</si>
  <si>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</si>
  <si>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</si>
  <si>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</si>
  <si>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</si>
  <si>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</si>
  <si>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</si>
  <si>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</si>
  <si>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</si>
  <si>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</si>
  <si>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</si>
  <si>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</si>
  <si>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</si>
  <si>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</si>
  <si>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</si>
  <si>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</si>
  <si>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</si>
  <si>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</si>
  <si>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</si>
  <si>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</si>
  <si>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</si>
  <si>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</si>
  <si>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</si>
  <si>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</si>
  <si>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</si>
  <si>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</si>
  <si>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</si>
  <si>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</si>
  <si>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</si>
  <si>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</si>
  <si>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</si>
  <si>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</si>
  <si>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</si>
  <si>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</si>
  <si>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</si>
  <si>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</si>
  <si>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</si>
  <si>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</si>
  <si>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</si>
  <si>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</si>
  <si>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</si>
  <si>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</si>
  <si>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</si>
  <si>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</si>
  <si>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</si>
  <si>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</si>
  <si>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</si>
  <si>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</si>
  <si>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</si>
  <si>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</si>
  <si>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</si>
  <si>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</si>
  <si>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</si>
  <si>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</si>
  <si>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</si>
  <si>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</si>
  <si>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</si>
  <si>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</si>
  <si>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</si>
  <si>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</si>
  <si>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</si>
  <si>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</si>
  <si>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</si>
  <si>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</si>
  <si>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</si>
  <si>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</si>
  <si>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</si>
  <si>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</si>
  <si>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</si>
  <si>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</si>
  <si>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</si>
  <si>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</si>
  <si>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</si>
  <si>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</si>
  <si>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</si>
  <si>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</si>
  <si>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</si>
  <si>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</si>
  <si>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</si>
  <si>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</si>
  <si>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</si>
  <si>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</si>
  <si>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</si>
  <si>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</si>
  <si>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</si>
  <si>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</si>
  <si>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</si>
  <si>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</si>
  <si>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</si>
  <si>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</si>
  <si>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</si>
  <si>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</si>
  <si>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</si>
  <si>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</si>
  <si>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</si>
  <si>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</si>
  <si>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</si>
  <si>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</si>
  <si>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</si>
  <si>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</si>
  <si>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</si>
  <si>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</si>
  <si>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</si>
  <si>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</si>
  <si>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</si>
  <si>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</si>
  <si>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</si>
  <si>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</si>
  <si>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</si>
  <si>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</si>
  <si>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</si>
  <si>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</si>
  <si>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</si>
  <si>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</si>
  <si>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</si>
  <si>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</si>
  <si>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</si>
  <si>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</si>
  <si>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</si>
  <si>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</si>
  <si>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</si>
  <si>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</si>
  <si>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</si>
  <si>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</si>
  <si>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</si>
  <si>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</si>
  <si>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</si>
  <si>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</si>
  <si>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</si>
  <si>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</si>
  <si>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</si>
  <si>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</si>
  <si>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</si>
  <si>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</si>
  <si>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</si>
  <si>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</si>
  <si>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</si>
  <si>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</si>
  <si>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</si>
  <si>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</si>
  <si>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</si>
  <si>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</si>
  <si>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</si>
  <si>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</si>
  <si>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</si>
  <si>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</si>
  <si>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</si>
  <si>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</si>
  <si>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</si>
  <si>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</si>
  <si>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</si>
  <si>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</si>
  <si>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</si>
  <si>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</si>
  <si>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</si>
  <si>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</si>
  <si>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</si>
  <si>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</si>
  <si>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</si>
  <si>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</si>
  <si>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</si>
  <si>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</si>
  <si>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</si>
  <si>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</si>
  <si>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</si>
  <si>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</si>
  <si>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</si>
  <si>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</si>
  <si>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</si>
  <si>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</si>
  <si>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</si>
  <si>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</si>
  <si>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</si>
  <si>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</si>
  <si>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</si>
  <si>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</si>
  <si>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</si>
  <si>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</si>
  <si>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</si>
  <si>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</si>
  <si>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</si>
  <si>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</si>
  <si>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</si>
  <si>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</si>
  <si>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</si>
  <si>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</si>
  <si>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</si>
  <si>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</si>
  <si>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</si>
  <si>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</si>
  <si>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</si>
  <si>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</si>
  <si>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</si>
  <si>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</si>
  <si>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</si>
  <si>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</si>
  <si>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</si>
  <si>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</si>
  <si>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</si>
  <si>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</si>
  <si>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</si>
  <si>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</si>
  <si>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</si>
  <si>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</si>
  <si>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</si>
  <si>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</si>
  <si>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</si>
  <si>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</si>
  <si>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</si>
  <si>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</si>
  <si>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</si>
  <si>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</si>
  <si>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</si>
  <si>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</si>
  <si>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</si>
  <si>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</si>
  <si>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</si>
  <si>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</si>
  <si>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</si>
  <si>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</si>
  <si>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</si>
  <si>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</si>
  <si>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</si>
  <si>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</si>
  <si>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</si>
  <si>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</si>
  <si>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</si>
  <si>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</si>
  <si>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</si>
  <si>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</si>
  <si>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</si>
  <si>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</si>
  <si>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</si>
  <si>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</si>
  <si>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</si>
  <si>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</si>
  <si>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</si>
  <si>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</si>
  <si>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</si>
  <si>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TX ID</t>
  </si>
  <si>
    <t>Product</t>
  </si>
  <si>
    <t>Quantity</t>
  </si>
  <si>
    <t>Unit Price</t>
  </si>
  <si>
    <t>Amount</t>
  </si>
  <si>
    <t>Order Date</t>
  </si>
  <si>
    <t>Ship Date</t>
  </si>
  <si>
    <t>Customer Gender</t>
  </si>
  <si>
    <t>Order Mode</t>
  </si>
  <si>
    <t>Rating C</t>
  </si>
  <si>
    <t>State</t>
  </si>
  <si>
    <t>County</t>
  </si>
  <si>
    <t>Days to Deliver</t>
  </si>
  <si>
    <t>Weeknum</t>
  </si>
  <si>
    <t>Gender Value</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</si>
  <si>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</si>
  <si>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</si>
  <si>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</si>
  <si>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</si>
  <si>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</si>
  <si>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</si>
  <si>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</si>
  <si>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</si>
  <si>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</si>
  <si>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</si>
  <si>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</si>
  <si>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</si>
  <si>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</si>
  <si>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</si>
  <si>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</si>
  <si>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Row Labels</t>
  </si>
  <si>
    <t>Grand Total</t>
  </si>
  <si>
    <t>Count of TX ID</t>
  </si>
  <si>
    <t>Sum of Amount</t>
  </si>
  <si>
    <t>Sum of Quantity</t>
  </si>
  <si>
    <t>Average of Rating C</t>
  </si>
  <si>
    <t>Average of Unit Price</t>
  </si>
  <si>
    <t>Average of Days to Deliver</t>
  </si>
  <si>
    <t>Values for Display</t>
  </si>
  <si>
    <t>Orders</t>
  </si>
  <si>
    <t>Avg. Price</t>
  </si>
  <si>
    <t>Avg. Days</t>
  </si>
  <si>
    <t>For trends</t>
  </si>
  <si>
    <t>Unknown</t>
  </si>
  <si>
    <t>Male</t>
  </si>
  <si>
    <t>Female</t>
  </si>
  <si>
    <t>Other</t>
  </si>
  <si>
    <t>Column Labels</t>
  </si>
  <si>
    <t>For matrix</t>
  </si>
  <si>
    <t>Sum</t>
  </si>
  <si>
    <t>Average</t>
  </si>
  <si>
    <t>Running Total</t>
  </si>
  <si>
    <t>Count</t>
  </si>
  <si>
    <t>Units per transaction</t>
  </si>
  <si>
    <t>6 to 10</t>
  </si>
  <si>
    <t>&gt;11</t>
  </si>
  <si>
    <t>Days to deliver</t>
  </si>
  <si>
    <t>customer satisfaction</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</si>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</sst>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409]* #,##0.00_);_([$$-409]* \(#,##0.00\);_([$$-409]* &quot;-&quot;??_);_(@_)"/>
    <numFmt numFmtId="165" formatCode="&quot;$&quot;#,##0"/>
    <numFmt numFmtId="166" formatCode="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s>
  <borders count="9">
    <border>
      <left/>
      <right/>
      <top/>
      <bottom/>
      <diagonal/>
    </border>
    <border>
      <left/>
      <right/>
      <top/>
      <bottom style="thin">
        <color theme="0"/>
      </bottom>
      <diagonal/>
    </border>
    <border>
      <left/>
      <right style="thin">
        <color theme="0"/>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right/>
      <top/>
      <bottom style="thin">
        <color theme="4" tint="0.39997558519241921"/>
      </bottom>
      <diagonal/>
    </border>
    <border>
      <left/>
      <right style="thin">
        <color theme="0"/>
      </right>
      <top/>
      <bottom style="thin">
        <color theme="0"/>
      </bottom>
      <diagonal/>
    </border>
    <border>
      <left style="thin">
        <color theme="0"/>
      </left>
      <right/>
      <top/>
      <bottom style="thin">
        <color theme="0"/>
      </bottom>
      <diagonal/>
    </border>
  </borders>
  <cellStyleXfs count="2">
    <xf numFmtId="0" fontId="0" fillId="0" borderId="0"/>
    <xf numFmtId="44" fontId="1" fillId="0" borderId="0" applyFont="0" applyFill="0" applyBorder="0" applyAlignment="0" applyProtection="0"/>
  </cellStyleXfs>
  <cellXfs count="25">
    <xf numFmtId="0" fontId="0" fillId="0" borderId="0" xfId="0"/>
    <xf numFmtId="15" fontId="0" fillId="0" borderId="0" xfId="0" applyNumberFormat="1"/>
    <xf numFmtId="0" fontId="0" fillId="2" borderId="0" xfId="0" applyFill="1"/>
    <xf numFmtId="0" fontId="2" fillId="2" borderId="0" xfId="0" applyFont="1" applyFill="1"/>
    <xf numFmtId="0" fontId="0" fillId="0" borderId="0" xfId="0" applyAlignment="1">
      <alignment horizontal="left" indent="1"/>
    </xf>
    <xf numFmtId="0" fontId="0" fillId="0" borderId="0" xfId="0" pivotButton="1"/>
    <xf numFmtId="0" fontId="0" fillId="0" borderId="0" xfId="0" applyAlignment="1">
      <alignment horizontal="left"/>
    </xf>
    <xf numFmtId="164" fontId="0" fillId="0" borderId="0" xfId="1" applyNumberFormat="1" applyFont="1"/>
    <xf numFmtId="165" fontId="0" fillId="0" borderId="0" xfId="0" applyNumberFormat="1"/>
    <xf numFmtId="10" fontId="0" fillId="0" borderId="0" xfId="0" applyNumberFormat="1"/>
    <xf numFmtId="0" fontId="0" fillId="0" borderId="1" xfId="0" applyBorder="1"/>
    <xf numFmtId="0" fontId="0" fillId="0" borderId="2" xfId="0" applyBorder="1"/>
    <xf numFmtId="0" fontId="0" fillId="0" borderId="3" xfId="0" applyBorder="1"/>
    <xf numFmtId="166" fontId="0" fillId="0" borderId="3" xfId="0" applyNumberFormat="1" applyBorder="1"/>
    <xf numFmtId="166" fontId="0" fillId="0" borderId="4" xfId="0" applyNumberFormat="1" applyBorder="1"/>
    <xf numFmtId="0" fontId="2" fillId="3" borderId="6" xfId="0" applyFont="1" applyFill="1" applyBorder="1"/>
    <xf numFmtId="166" fontId="0" fillId="0" borderId="7" xfId="0" applyNumberFormat="1" applyBorder="1"/>
    <xf numFmtId="0" fontId="0" fillId="0" borderId="5" xfId="0" applyBorder="1"/>
    <xf numFmtId="0" fontId="0" fillId="0" borderId="7" xfId="0" applyBorder="1"/>
    <xf numFmtId="166" fontId="0" fillId="0" borderId="1" xfId="0" applyNumberFormat="1" applyBorder="1"/>
    <xf numFmtId="0" fontId="0" fillId="0" borderId="8" xfId="0" applyBorder="1"/>
    <xf numFmtId="0" fontId="0" fillId="0" borderId="4" xfId="0" applyBorder="1"/>
    <xf numFmtId="0" fontId="0" fillId="0" borderId="0" xfId="0" applyNumberFormat="1"/>
    <xf numFmtId="0" fontId="2" fillId="0" borderId="0" xfId="0" applyFont="1"/>
    <xf numFmtId="0" fontId="2" fillId="0" borderId="6" xfId="0" applyFont="1" applyBorder="1"/>
  </cellXfs>
  <cellStyles count="2">
    <cellStyle name="Currency" xfId="1" builtinId="4"/>
    <cellStyle name="Normal" xfId="0" builtinId="0"/>
  </cellStyles>
  <dxfs count="7">
    <dxf>
      <numFmt numFmtId="165" formatCode="&quot;$&quot;#,##0"/>
    </dxf>
    <dxf>
      <numFmt numFmtId="165" formatCode="&quot;$&quot;#,##0"/>
    </dxf>
    <dxf>
      <numFmt numFmtId="0" formatCode="General"/>
    </dxf>
    <dxf>
      <numFmt numFmtId="0" formatCode="General"/>
    </dxf>
    <dxf>
      <numFmt numFmtId="0" formatCode="General"/>
    </dxf>
    <dxf>
      <numFmt numFmtId="20" formatCode="d\-mmm\-yy"/>
    </dxf>
    <dxf>
      <numFmt numFmtId="20"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data.xlsx]Pivots!PivotTable_Trends</c:name>
    <c:fmtId val="9"/>
  </c:pivotSource>
  <c:chart>
    <c:title>
      <c:tx>
        <c:rich>
          <a:bodyPr rot="0" spcFirstLastPara="1" vertOverflow="ellipsis" vert="horz" wrap="square" anchor="ctr" anchorCtr="1"/>
          <a:lstStyle/>
          <a:p>
            <a:pPr>
              <a:defRPr sz="1400" b="0" i="0" u="none" strike="noStrike" kern="1200" spc="0" baseline="0">
                <a:solidFill>
                  <a:schemeClr val="bg2">
                    <a:lumMod val="50000"/>
                  </a:schemeClr>
                </a:solidFill>
                <a:latin typeface="+mn-lt"/>
                <a:ea typeface="+mn-ea"/>
                <a:cs typeface="+mn-cs"/>
              </a:defRPr>
            </a:pPr>
            <a:r>
              <a:rPr lang="en-US" sz="1000" b="1">
                <a:solidFill>
                  <a:schemeClr val="tx1"/>
                </a:solidFill>
                <a:latin typeface="Bookman Old Style" panose="02050604050505020204" pitchFamily="18" charset="0"/>
              </a:rPr>
              <a:t>Last</a:t>
            </a:r>
            <a:r>
              <a:rPr lang="en-US" sz="1000" b="1" baseline="0">
                <a:solidFill>
                  <a:schemeClr val="tx1"/>
                </a:solidFill>
                <a:latin typeface="Bookman Old Style" panose="02050604050505020204" pitchFamily="18" charset="0"/>
              </a:rPr>
              <a:t> 13 Week Trends - Qty vs Amount</a:t>
            </a:r>
            <a:endParaRPr lang="en-US" sz="1000" b="1">
              <a:solidFill>
                <a:schemeClr val="tx1"/>
              </a:solidFill>
              <a:latin typeface="Bookman Old Style" panose="0205060405050502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04486939132608"/>
          <c:y val="0.13477559121143468"/>
          <c:w val="0.75383077115360575"/>
          <c:h val="0.75639065939876371"/>
        </c:manualLayout>
      </c:layout>
      <c:lineChart>
        <c:grouping val="standard"/>
        <c:varyColors val="0"/>
        <c:ser>
          <c:idx val="0"/>
          <c:order val="0"/>
          <c:tx>
            <c:strRef>
              <c:f>Pivots!$C$10</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Pivots!$B$11:$B$24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Pivots!$C$11:$C$24</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AA1C-4404-8645-7FDAD8F58802}"/>
            </c:ext>
          </c:extLst>
        </c:ser>
        <c:dLbls>
          <c:showLegendKey val="0"/>
          <c:showVal val="0"/>
          <c:showCatName val="0"/>
          <c:showSerName val="0"/>
          <c:showPercent val="0"/>
          <c:showBubbleSize val="0"/>
        </c:dLbls>
        <c:marker val="1"/>
        <c:smooth val="0"/>
        <c:axId val="1190280175"/>
        <c:axId val="1190282575"/>
      </c:lineChart>
      <c:lineChart>
        <c:grouping val="standard"/>
        <c:varyColors val="0"/>
        <c:ser>
          <c:idx val="1"/>
          <c:order val="1"/>
          <c:tx>
            <c:strRef>
              <c:f>Pivots!$D$10</c:f>
              <c:strCache>
                <c:ptCount val="1"/>
                <c:pt idx="0">
                  <c:v>Sum of Amount</c:v>
                </c:pt>
              </c:strCache>
            </c:strRef>
          </c:tx>
          <c:spPr>
            <a:ln w="28575" cap="rnd">
              <a:solidFill>
                <a:schemeClr val="accent2"/>
              </a:solidFill>
              <a:round/>
            </a:ln>
            <a:effectLst/>
          </c:spPr>
          <c:marker>
            <c:symbol val="none"/>
          </c:marker>
          <c:cat>
            <c:strRef>
              <c:f>Pivots!$B$11:$B$24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Pivots!$D$11:$D$24</c:f>
              <c:numCache>
                <c:formatCode>"$"#,##0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AA1C-4404-8645-7FDAD8F58802}"/>
            </c:ext>
          </c:extLst>
        </c:ser>
        <c:dLbls>
          <c:showLegendKey val="0"/>
          <c:showVal val="0"/>
          <c:showCatName val="0"/>
          <c:showSerName val="0"/>
          <c:showPercent val="0"/>
          <c:showBubbleSize val="0"/>
        </c:dLbls>
        <c:marker val="1"/>
        <c:smooth val="0"/>
        <c:axId val="1273932975"/>
        <c:axId val="1273931055"/>
      </c:lineChart>
      <c:catAx>
        <c:axId val="119028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282575"/>
        <c:crosses val="autoZero"/>
        <c:auto val="1"/>
        <c:lblAlgn val="ctr"/>
        <c:lblOffset val="100"/>
        <c:noMultiLvlLbl val="0"/>
      </c:catAx>
      <c:valAx>
        <c:axId val="1190282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280175"/>
        <c:crosses val="autoZero"/>
        <c:crossBetween val="between"/>
      </c:valAx>
      <c:valAx>
        <c:axId val="1273931055"/>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932975"/>
        <c:crosses val="max"/>
        <c:crossBetween val="between"/>
      </c:valAx>
      <c:catAx>
        <c:axId val="1273932975"/>
        <c:scaling>
          <c:orientation val="minMax"/>
        </c:scaling>
        <c:delete val="1"/>
        <c:axPos val="b"/>
        <c:numFmt formatCode="General" sourceLinked="1"/>
        <c:majorTickMark val="out"/>
        <c:minorTickMark val="none"/>
        <c:tickLblPos val="nextTo"/>
        <c:crossAx val="127393105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data.xlsx]Pivots!PivotTable_Transactions</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000" b="1">
                <a:solidFill>
                  <a:schemeClr val="tx1"/>
                </a:solidFill>
                <a:latin typeface="Bookman Old Style" panose="02050604050505020204" pitchFamily="18" charset="0"/>
              </a:rPr>
              <a:t>Qunatity</a:t>
            </a:r>
            <a:r>
              <a:rPr lang="en-US" sz="1000" b="1" baseline="0">
                <a:solidFill>
                  <a:schemeClr val="tx1"/>
                </a:solidFill>
                <a:latin typeface="Bookman Old Style" panose="02050604050505020204" pitchFamily="18" charset="0"/>
              </a:rPr>
              <a:t>  Per Transaction</a:t>
            </a:r>
            <a:endParaRPr lang="en-US" sz="1000" b="1">
              <a:solidFill>
                <a:schemeClr val="tx1"/>
              </a:solidFill>
              <a:latin typeface="Bookman Old Style" panose="0205060405050502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Pivots!$B$29:$B$36</c:f>
              <c:strCache>
                <c:ptCount val="7"/>
                <c:pt idx="0">
                  <c:v>1</c:v>
                </c:pt>
                <c:pt idx="1">
                  <c:v>2</c:v>
                </c:pt>
                <c:pt idx="2">
                  <c:v>3</c:v>
                </c:pt>
                <c:pt idx="3">
                  <c:v>4</c:v>
                </c:pt>
                <c:pt idx="4">
                  <c:v>5</c:v>
                </c:pt>
                <c:pt idx="5">
                  <c:v>6 to 10</c:v>
                </c:pt>
                <c:pt idx="6">
                  <c:v>&gt;11</c:v>
                </c:pt>
              </c:strCache>
            </c:strRef>
          </c:cat>
          <c:val>
            <c:numRef>
              <c:f>Pivots!$C$29:$C$36</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DF7D-46FF-BB73-C598DCC83E33}"/>
            </c:ext>
          </c:extLst>
        </c:ser>
        <c:dLbls>
          <c:showLegendKey val="0"/>
          <c:showVal val="0"/>
          <c:showCatName val="0"/>
          <c:showSerName val="0"/>
          <c:showPercent val="0"/>
          <c:showBubbleSize val="0"/>
        </c:dLbls>
        <c:gapWidth val="10"/>
        <c:overlap val="-27"/>
        <c:axId val="794420656"/>
        <c:axId val="794422576"/>
      </c:barChart>
      <c:catAx>
        <c:axId val="794420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422576"/>
        <c:crosses val="autoZero"/>
        <c:auto val="1"/>
        <c:lblAlgn val="ctr"/>
        <c:lblOffset val="100"/>
        <c:noMultiLvlLbl val="0"/>
      </c:catAx>
      <c:valAx>
        <c:axId val="7944225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42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data.xlsx]Pivots!PivotTable_Qunatity</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000" b="1">
                <a:solidFill>
                  <a:schemeClr val="tx1"/>
                </a:solidFill>
                <a:latin typeface="Bookman Old Style" panose="02050604050505020204" pitchFamily="18" charset="0"/>
              </a:rPr>
              <a:t>Most</a:t>
            </a:r>
            <a:r>
              <a:rPr lang="en-US" sz="1000" b="1" baseline="0">
                <a:solidFill>
                  <a:schemeClr val="tx1"/>
                </a:solidFill>
                <a:latin typeface="Bookman Old Style" panose="02050604050505020204" pitchFamily="18" charset="0"/>
              </a:rPr>
              <a:t> Selling Products</a:t>
            </a:r>
            <a:endParaRPr lang="en-US" sz="1000" b="1">
              <a:solidFill>
                <a:schemeClr val="tx1"/>
              </a:solidFill>
              <a:latin typeface="Bookman Old Style" panose="0205060405050502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Pivots!$F$28:$F$29</c:f>
              <c:strCache>
                <c:ptCount val="1"/>
              </c:strCache>
            </c:strRef>
          </c:tx>
          <c:spPr>
            <a:solidFill>
              <a:schemeClr val="accent1"/>
            </a:solidFill>
            <a:ln>
              <a:noFill/>
            </a:ln>
            <a:effectLst/>
          </c:spPr>
          <c:invertIfNegative val="0"/>
          <c:cat>
            <c:strRef>
              <c:f>Pivots!$E$30:$E$50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Pivots!$F$30:$F$50</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0-AC13-45C5-828D-F63E9071AC15}"/>
            </c:ext>
          </c:extLst>
        </c:ser>
        <c:ser>
          <c:idx val="1"/>
          <c:order val="1"/>
          <c:tx>
            <c:strRef>
              <c:f>Pivots!$G$28:$G$29</c:f>
              <c:strCache>
                <c:ptCount val="1"/>
                <c:pt idx="0">
                  <c:v>F</c:v>
                </c:pt>
              </c:strCache>
            </c:strRef>
          </c:tx>
          <c:spPr>
            <a:solidFill>
              <a:schemeClr val="accent2"/>
            </a:solidFill>
            <a:ln>
              <a:noFill/>
            </a:ln>
            <a:effectLst/>
          </c:spPr>
          <c:invertIfNegative val="0"/>
          <c:cat>
            <c:strRef>
              <c:f>Pivots!$E$30:$E$50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Pivots!$G$30:$G$50</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18-AC13-45C5-828D-F63E9071AC15}"/>
            </c:ext>
          </c:extLst>
        </c:ser>
        <c:ser>
          <c:idx val="2"/>
          <c:order val="2"/>
          <c:tx>
            <c:strRef>
              <c:f>Pivots!$H$28:$H$29</c:f>
              <c:strCache>
                <c:ptCount val="1"/>
                <c:pt idx="0">
                  <c:v>M</c:v>
                </c:pt>
              </c:strCache>
            </c:strRef>
          </c:tx>
          <c:spPr>
            <a:solidFill>
              <a:schemeClr val="accent3"/>
            </a:solidFill>
            <a:ln>
              <a:noFill/>
            </a:ln>
            <a:effectLst/>
          </c:spPr>
          <c:invertIfNegative val="0"/>
          <c:cat>
            <c:strRef>
              <c:f>Pivots!$E$30:$E$50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Pivots!$H$30:$H$50</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19-AC13-45C5-828D-F63E9071AC15}"/>
            </c:ext>
          </c:extLst>
        </c:ser>
        <c:ser>
          <c:idx val="3"/>
          <c:order val="3"/>
          <c:tx>
            <c:strRef>
              <c:f>Pivots!$I$28:$I$29</c:f>
              <c:strCache>
                <c:ptCount val="1"/>
                <c:pt idx="0">
                  <c:v>O</c:v>
                </c:pt>
              </c:strCache>
            </c:strRef>
          </c:tx>
          <c:spPr>
            <a:solidFill>
              <a:schemeClr val="accent4"/>
            </a:solidFill>
            <a:ln>
              <a:noFill/>
            </a:ln>
            <a:effectLst/>
          </c:spPr>
          <c:invertIfNegative val="0"/>
          <c:cat>
            <c:strRef>
              <c:f>Pivots!$E$30:$E$50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Pivots!$I$30:$I$50</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1A-AC13-45C5-828D-F63E9071AC15}"/>
            </c:ext>
          </c:extLst>
        </c:ser>
        <c:dLbls>
          <c:showLegendKey val="0"/>
          <c:showVal val="0"/>
          <c:showCatName val="0"/>
          <c:showSerName val="0"/>
          <c:showPercent val="0"/>
          <c:showBubbleSize val="0"/>
        </c:dLbls>
        <c:gapWidth val="10"/>
        <c:overlap val="100"/>
        <c:axId val="63044112"/>
        <c:axId val="63048432"/>
      </c:barChart>
      <c:catAx>
        <c:axId val="63044112"/>
        <c:scaling>
          <c:orientation val="maxMin"/>
        </c:scaling>
        <c:delete val="0"/>
        <c:axPos val="l"/>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48432"/>
        <c:crosses val="autoZero"/>
        <c:auto val="1"/>
        <c:lblAlgn val="ctr"/>
        <c:lblOffset val="100"/>
        <c:noMultiLvlLbl val="0"/>
      </c:catAx>
      <c:valAx>
        <c:axId val="63048432"/>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4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75000"/>
          <a:alpha val="94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data.xlsx]Pivots!PivotTable5</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0.2318548387096773"/>
              <c:y val="-0.1357466063348416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089E6FD-BB86-4895-AD6A-7974A141CEDE}" type="CATEGORYNAME">
                  <a:rPr lang="en-US"/>
                  <a:pPr>
                    <a:defRPr/>
                  </a:pPr>
                  <a:t>[CATEGORY NAME]</a:t>
                </a:fld>
                <a:r>
                  <a:rPr lang="en-US"/>
                  <a:t>Unkown</a:t>
                </a:r>
                <a:r>
                  <a:rPr lang="en-US" baseline="0"/>
                  <a:t>, </a:t>
                </a:r>
                <a:fld id="{36BA4DE7-FB1B-4041-A542-BD81A58A1CAD}" type="VALUE">
                  <a:rPr lang="en-US" baseline="0"/>
                  <a:pPr>
                    <a:defRPr/>
                  </a:pPr>
                  <a:t>[VALUE]</a:t>
                </a:fld>
                <a:r>
                  <a:rPr lang="en-US" baseline="0"/>
                  <a:t>, </a:t>
                </a:r>
                <a:fld id="{491C52B5-F35A-4904-8A7F-9A5B608AE298}"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6347419778172887"/>
                  <c:h val="0.18831070889894419"/>
                </c:manualLayout>
              </c15:layout>
              <c15:dlblFieldTable/>
              <c15:showDataLabelsRange val="0"/>
            </c:ext>
          </c:extLst>
        </c:dLbl>
      </c:pivotFmt>
      <c:pivotFmt>
        <c:idx val="8"/>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0.12942807552281771"/>
              <c:y val="0.2036205033194378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A530B74-1AF8-4D13-A431-9EA82E62EEAA}" type="CATEGORYNAME">
                  <a:rPr lang="en-US"/>
                  <a:pPr>
                    <a:defRPr/>
                  </a:pPr>
                  <a:t>[CATEGORY NAME]</a:t>
                </a:fld>
                <a:r>
                  <a:rPr lang="en-US"/>
                  <a:t>emale</a:t>
                </a:r>
                <a:r>
                  <a:rPr lang="en-US" baseline="0"/>
                  <a:t>,</a:t>
                </a:r>
              </a:p>
              <a:p>
                <a:pPr>
                  <a:defRPr/>
                </a:pPr>
                <a:r>
                  <a:rPr lang="en-US" baseline="0"/>
                  <a:t> </a:t>
                </a:r>
                <a:fld id="{8E75B8CE-48A4-4428-90E6-66D87A378741}" type="VALUE">
                  <a:rPr lang="en-US" baseline="0"/>
                  <a:pPr>
                    <a:defRPr/>
                  </a:pPr>
                  <a:t>[VALUE]</a:t>
                </a:fld>
                <a:r>
                  <a:rPr lang="en-US" baseline="0"/>
                  <a:t>,</a:t>
                </a:r>
                <a:fld id="{7E20BCA6-A759-4320-AA36-7C78A2DB5064}"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0243840487680973"/>
                  <c:h val="0.21082231802472653"/>
                </c:manualLayout>
              </c15:layout>
              <c15:dlblFieldTable/>
              <c15:showDataLabelsRange val="0"/>
            </c:ext>
          </c:extLst>
        </c:dLbl>
      </c:pivotFmt>
      <c:pivotFmt>
        <c:idx val="9"/>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0.16129032258064516"/>
              <c:y val="3.7713328820321973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C85AEDA-0FB7-4532-9F13-18C75E72ADAD}" type="CATEGORYNAME">
                  <a:rPr lang="en-US"/>
                  <a:pPr>
                    <a:defRPr/>
                  </a:pPr>
                  <a:t>[CATEGORY NAME]</a:t>
                </a:fld>
                <a:r>
                  <a:rPr lang="en-US"/>
                  <a:t>ale</a:t>
                </a:r>
                <a:r>
                  <a:rPr lang="en-US" baseline="0"/>
                  <a:t>,</a:t>
                </a:r>
              </a:p>
              <a:p>
                <a:pPr>
                  <a:defRPr/>
                </a:pPr>
                <a:r>
                  <a:rPr lang="en-US" baseline="0"/>
                  <a:t> </a:t>
                </a:r>
                <a:fld id="{4987355B-EC8A-4C73-9E56-27A5AE3F4AC1}" type="VALUE">
                  <a:rPr lang="en-US" baseline="0"/>
                  <a:pPr>
                    <a:defRPr/>
                  </a:pPr>
                  <a:t>[VALUE]</a:t>
                </a:fld>
                <a:r>
                  <a:rPr lang="en-US" baseline="0"/>
                  <a:t>, </a:t>
                </a:r>
                <a:fld id="{05DD41B0-7C22-463E-8D54-EE6FB874AA4B}"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7207634831936334"/>
                  <c:h val="0.27869562119214736"/>
                </c:manualLayout>
              </c15:layout>
              <c15:dlblFieldTable/>
              <c15:showDataLabelsRange val="0"/>
            </c:ext>
          </c:extLst>
        </c:dLbl>
      </c:pivotFmt>
      <c:pivotFmt>
        <c:idx val="10"/>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0.12432795698924731"/>
              <c:y val="-9.803862186909893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7938398-2BE4-4A3D-8E25-2B022CC955D0}" type="CATEGORYNAME">
                  <a:rPr lang="en-US"/>
                  <a:pPr>
                    <a:defRPr/>
                  </a:pPr>
                  <a:t>[CATEGORY NAME]</a:t>
                </a:fld>
                <a:r>
                  <a:rPr lang="en-US"/>
                  <a:t>ther</a:t>
                </a:r>
                <a:r>
                  <a:rPr lang="en-US" baseline="0"/>
                  <a:t>, </a:t>
                </a:r>
              </a:p>
              <a:p>
                <a:pPr>
                  <a:defRPr/>
                </a:pPr>
                <a:fld id="{B0994E08-F4AE-412A-8552-D84064458E3D}" type="VALUE">
                  <a:rPr lang="en-US" baseline="0"/>
                  <a:pPr>
                    <a:defRPr/>
                  </a:pPr>
                  <a:t>[VALUE]</a:t>
                </a:fld>
                <a:r>
                  <a:rPr lang="en-US" baseline="0"/>
                  <a:t>, </a:t>
                </a:r>
                <a:fld id="{02575237-481D-45DE-8146-FB2F75F47793}"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4815161713656761"/>
                  <c:h val="0.27115414306243396"/>
                </c:manualLayout>
              </c15:layout>
              <c15:dlblFieldTable/>
              <c15:showDataLabelsRange val="0"/>
            </c:ext>
          </c:extLst>
        </c:dLbl>
      </c:pivotFmt>
    </c:pivotFmts>
    <c:plotArea>
      <c:layout>
        <c:manualLayout>
          <c:layoutTarget val="inner"/>
          <c:xMode val="edge"/>
          <c:yMode val="edge"/>
          <c:x val="0.19749650749301498"/>
          <c:y val="0.18316350162112088"/>
          <c:w val="0.6318887054440776"/>
          <c:h val="0.70908777805489243"/>
        </c:manualLayout>
      </c:layout>
      <c:doughnutChart>
        <c:varyColors val="1"/>
        <c:ser>
          <c:idx val="0"/>
          <c:order val="0"/>
          <c:tx>
            <c:strRef>
              <c:f>Pivots!$N$28</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explosion val="1"/>
          <c:dPt>
            <c:idx val="0"/>
            <c:bubble3D val="0"/>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0237-4B61-BA8D-1AA6F62479AF}"/>
              </c:ext>
            </c:extLst>
          </c:dPt>
          <c:dPt>
            <c:idx val="1"/>
            <c:bubble3D val="0"/>
            <c:spPr>
              <a:solidFill>
                <a:schemeClr val="accent2"/>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0237-4B61-BA8D-1AA6F62479AF}"/>
              </c:ext>
            </c:extLst>
          </c:dPt>
          <c:dPt>
            <c:idx val="2"/>
            <c:bubble3D val="0"/>
            <c:spPr>
              <a:solidFill>
                <a:schemeClr val="accent3"/>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0237-4B61-BA8D-1AA6F62479AF}"/>
              </c:ext>
            </c:extLst>
          </c:dPt>
          <c:dPt>
            <c:idx val="3"/>
            <c:bubble3D val="0"/>
            <c:spPr>
              <a:solidFill>
                <a:schemeClr val="accent4"/>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7-0237-4B61-BA8D-1AA6F62479AF}"/>
              </c:ext>
            </c:extLst>
          </c:dPt>
          <c:dLbls>
            <c:dLbl>
              <c:idx val="0"/>
              <c:layout>
                <c:manualLayout>
                  <c:x val="0.2318548387096773"/>
                  <c:y val="-0.13574660633484162"/>
                </c:manualLayout>
              </c:layout>
              <c:tx>
                <c:rich>
                  <a:bodyPr/>
                  <a:lstStyle/>
                  <a:p>
                    <a:fld id="{0089E6FD-BB86-4895-AD6A-7974A141CEDE}" type="CATEGORYNAME">
                      <a:rPr lang="en-US"/>
                      <a:pPr/>
                      <a:t>[CATEGORY NAME]</a:t>
                    </a:fld>
                    <a:r>
                      <a:rPr lang="en-US"/>
                      <a:t>Unkown</a:t>
                    </a:r>
                    <a:r>
                      <a:rPr lang="en-US" baseline="0"/>
                      <a:t>, </a:t>
                    </a:r>
                    <a:fld id="{36BA4DE7-FB1B-4041-A542-BD81A58A1CAD}" type="VALUE">
                      <a:rPr lang="en-US" baseline="0"/>
                      <a:pPr/>
                      <a:t>[VALUE]</a:t>
                    </a:fld>
                    <a:r>
                      <a:rPr lang="en-US" baseline="0"/>
                      <a:t>, </a:t>
                    </a:r>
                    <a:fld id="{491C52B5-F35A-4904-8A7F-9A5B608AE298}"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layout>
                    <c:manualLayout>
                      <c:w val="0.26347419778172887"/>
                      <c:h val="0.18831070889894419"/>
                    </c:manualLayout>
                  </c15:layout>
                  <c15:dlblFieldTable/>
                  <c15:showDataLabelsRange val="0"/>
                </c:ext>
                <c:ext xmlns:c16="http://schemas.microsoft.com/office/drawing/2014/chart" uri="{C3380CC4-5D6E-409C-BE32-E72D297353CC}">
                  <c16:uniqueId val="{00000001-0237-4B61-BA8D-1AA6F62479AF}"/>
                </c:ext>
              </c:extLst>
            </c:dLbl>
            <c:dLbl>
              <c:idx val="1"/>
              <c:layout>
                <c:manualLayout>
                  <c:x val="0.12942807552281771"/>
                  <c:y val="0.2036205033194378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A530B74-1AF8-4D13-A431-9EA82E62EEAA}" type="CATEGORYNAME">
                      <a:rPr lang="en-US"/>
                      <a:pPr>
                        <a:defRPr/>
                      </a:pPr>
                      <a:t>[CATEGORY NAME]</a:t>
                    </a:fld>
                    <a:r>
                      <a:rPr lang="en-US"/>
                      <a:t>emale</a:t>
                    </a:r>
                    <a:r>
                      <a:rPr lang="en-US" baseline="0"/>
                      <a:t>,</a:t>
                    </a:r>
                  </a:p>
                  <a:p>
                    <a:pPr>
                      <a:defRPr/>
                    </a:pPr>
                    <a:r>
                      <a:rPr lang="en-US" baseline="0"/>
                      <a:t> </a:t>
                    </a:r>
                    <a:fld id="{8E75B8CE-48A4-4428-90E6-66D87A378741}" type="VALUE">
                      <a:rPr lang="en-US" baseline="0"/>
                      <a:pPr>
                        <a:defRPr/>
                      </a:pPr>
                      <a:t>[VALUE]</a:t>
                    </a:fld>
                    <a:r>
                      <a:rPr lang="en-US" baseline="0"/>
                      <a:t>,</a:t>
                    </a:r>
                    <a:fld id="{7E20BCA6-A759-4320-AA36-7C78A2DB5064}"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0243840487680973"/>
                      <c:h val="0.21082231802472653"/>
                    </c:manualLayout>
                  </c15:layout>
                  <c15:dlblFieldTable/>
                  <c15:showDataLabelsRange val="0"/>
                </c:ext>
                <c:ext xmlns:c16="http://schemas.microsoft.com/office/drawing/2014/chart" uri="{C3380CC4-5D6E-409C-BE32-E72D297353CC}">
                  <c16:uniqueId val="{00000003-0237-4B61-BA8D-1AA6F62479AF}"/>
                </c:ext>
              </c:extLst>
            </c:dLbl>
            <c:dLbl>
              <c:idx val="2"/>
              <c:layout>
                <c:manualLayout>
                  <c:x val="-0.16129032258064516"/>
                  <c:y val="3.7713328820321973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C85AEDA-0FB7-4532-9F13-18C75E72ADAD}" type="CATEGORYNAME">
                      <a:rPr lang="en-US"/>
                      <a:pPr>
                        <a:defRPr/>
                      </a:pPr>
                      <a:t>[CATEGORY NAME]</a:t>
                    </a:fld>
                    <a:r>
                      <a:rPr lang="en-US"/>
                      <a:t>ale</a:t>
                    </a:r>
                    <a:r>
                      <a:rPr lang="en-US" baseline="0"/>
                      <a:t>,</a:t>
                    </a:r>
                  </a:p>
                  <a:p>
                    <a:pPr>
                      <a:defRPr/>
                    </a:pPr>
                    <a:r>
                      <a:rPr lang="en-US" baseline="0"/>
                      <a:t> </a:t>
                    </a:r>
                    <a:fld id="{4987355B-EC8A-4C73-9E56-27A5AE3F4AC1}" type="VALUE">
                      <a:rPr lang="en-US" baseline="0"/>
                      <a:pPr>
                        <a:defRPr/>
                      </a:pPr>
                      <a:t>[VALUE]</a:t>
                    </a:fld>
                    <a:r>
                      <a:rPr lang="en-US" baseline="0"/>
                      <a:t>, </a:t>
                    </a:r>
                    <a:fld id="{05DD41B0-7C22-463E-8D54-EE6FB874AA4B}"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7207634831936334"/>
                      <c:h val="0.27869562119214736"/>
                    </c:manualLayout>
                  </c15:layout>
                  <c15:dlblFieldTable/>
                  <c15:showDataLabelsRange val="0"/>
                </c:ext>
                <c:ext xmlns:c16="http://schemas.microsoft.com/office/drawing/2014/chart" uri="{C3380CC4-5D6E-409C-BE32-E72D297353CC}">
                  <c16:uniqueId val="{00000005-0237-4B61-BA8D-1AA6F62479AF}"/>
                </c:ext>
              </c:extLst>
            </c:dLbl>
            <c:dLbl>
              <c:idx val="3"/>
              <c:layout>
                <c:manualLayout>
                  <c:x val="-0.12432795698924731"/>
                  <c:y val="-9.8038621869098938E-2"/>
                </c:manualLayout>
              </c:layout>
              <c:tx>
                <c:rich>
                  <a:bodyPr/>
                  <a:lstStyle/>
                  <a:p>
                    <a:fld id="{E7938398-2BE4-4A3D-8E25-2B022CC955D0}" type="CATEGORYNAME">
                      <a:rPr lang="en-US"/>
                      <a:pPr/>
                      <a:t>[CATEGORY NAME]</a:t>
                    </a:fld>
                    <a:r>
                      <a:rPr lang="en-US"/>
                      <a:t>ther</a:t>
                    </a:r>
                    <a:r>
                      <a:rPr lang="en-US" baseline="0"/>
                      <a:t>, </a:t>
                    </a:r>
                  </a:p>
                  <a:p>
                    <a:fld id="{B0994E08-F4AE-412A-8552-D84064458E3D}" type="VALUE">
                      <a:rPr lang="en-US" baseline="0"/>
                      <a:pPr/>
                      <a:t>[VALUE]</a:t>
                    </a:fld>
                    <a:r>
                      <a:rPr lang="en-US" baseline="0"/>
                      <a:t>, </a:t>
                    </a:r>
                    <a:fld id="{02575237-481D-45DE-8146-FB2F75F47793}"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layout>
                    <c:manualLayout>
                      <c:w val="0.24815161713656761"/>
                      <c:h val="0.27115414306243396"/>
                    </c:manualLayout>
                  </c15:layout>
                  <c15:dlblFieldTable/>
                  <c15:showDataLabelsRange val="0"/>
                </c:ext>
                <c:ext xmlns:c16="http://schemas.microsoft.com/office/drawing/2014/chart" uri="{C3380CC4-5D6E-409C-BE32-E72D297353CC}">
                  <c16:uniqueId val="{00000007-0237-4B61-BA8D-1AA6F62479A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extLst>
          </c:dLbls>
          <c:cat>
            <c:strRef>
              <c:f>Pivots!$M$29:$M$33</c:f>
              <c:strCache>
                <c:ptCount val="4"/>
                <c:pt idx="1">
                  <c:v>F</c:v>
                </c:pt>
                <c:pt idx="2">
                  <c:v>M</c:v>
                </c:pt>
                <c:pt idx="3">
                  <c:v>O</c:v>
                </c:pt>
              </c:strCache>
            </c:strRef>
          </c:cat>
          <c:val>
            <c:numRef>
              <c:f>Pivots!$N$29:$N$33</c:f>
              <c:numCache>
                <c:formatCode>General</c:formatCode>
                <c:ptCount val="4"/>
                <c:pt idx="0">
                  <c:v>736</c:v>
                </c:pt>
                <c:pt idx="1">
                  <c:v>6272</c:v>
                </c:pt>
                <c:pt idx="2">
                  <c:v>4672</c:v>
                </c:pt>
                <c:pt idx="3">
                  <c:v>317</c:v>
                </c:pt>
              </c:numCache>
            </c:numRef>
          </c:val>
          <c:extLst>
            <c:ext xmlns:c16="http://schemas.microsoft.com/office/drawing/2014/chart" uri="{C3380CC4-5D6E-409C-BE32-E72D297353CC}">
              <c16:uniqueId val="{00000008-0237-4B61-BA8D-1AA6F62479AF}"/>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data.xlsx]Pivot_Cust,Del!PivotTable_Daystodeliver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tx1"/>
                </a:solidFill>
                <a:latin typeface="Bookman Old Style" panose="02050604050505020204" pitchFamily="18" charset="0"/>
              </a:rPr>
              <a:t>How</a:t>
            </a:r>
            <a:r>
              <a:rPr lang="en-US" sz="1000" b="1" baseline="0">
                <a:solidFill>
                  <a:schemeClr val="tx1"/>
                </a:solidFill>
                <a:latin typeface="Bookman Old Style" panose="02050604050505020204" pitchFamily="18" charset="0"/>
              </a:rPr>
              <a:t> long it takes to ship?</a:t>
            </a:r>
            <a:endParaRPr lang="en-US" sz="1000" b="1">
              <a:solidFill>
                <a:schemeClr val="tx1"/>
              </a:solidFill>
              <a:latin typeface="Bookman Old Style" panose="0205060405050502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'Pivot_Cust,Del'!$B$3</c:f>
              <c:strCache>
                <c:ptCount val="1"/>
                <c:pt idx="0">
                  <c:v>Total</c:v>
                </c:pt>
              </c:strCache>
            </c:strRef>
          </c:tx>
          <c:spPr>
            <a:solidFill>
              <a:schemeClr val="accent1"/>
            </a:solidFill>
            <a:ln>
              <a:noFill/>
            </a:ln>
            <a:effectLst/>
          </c:spPr>
          <c:invertIfNegative val="0"/>
          <c:cat>
            <c:strRef>
              <c:f>'Pivot_Cust,Del'!$A$4:$A$19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'Pivot_Cust,Del'!$B$4:$B$19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5744-41E1-8CF0-F233CF0BC4BA}"/>
            </c:ext>
          </c:extLst>
        </c:ser>
        <c:dLbls>
          <c:showLegendKey val="0"/>
          <c:showVal val="0"/>
          <c:showCatName val="0"/>
          <c:showSerName val="0"/>
          <c:showPercent val="0"/>
          <c:showBubbleSize val="0"/>
        </c:dLbls>
        <c:gapWidth val="19"/>
        <c:overlap val="-27"/>
        <c:axId val="790399872"/>
        <c:axId val="790400352"/>
      </c:barChart>
      <c:catAx>
        <c:axId val="79039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400352"/>
        <c:crosses val="autoZero"/>
        <c:auto val="1"/>
        <c:lblAlgn val="ctr"/>
        <c:lblOffset val="100"/>
        <c:noMultiLvlLbl val="0"/>
      </c:catAx>
      <c:valAx>
        <c:axId val="790400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39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data.xlsx]Pivot_Cust,Del!PivotTable_Customerrating</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tx1"/>
                </a:solidFill>
                <a:latin typeface="Bookman Old Style" panose="02050604050505020204" pitchFamily="18" charset="0"/>
              </a:rPr>
              <a:t>Customer</a:t>
            </a:r>
            <a:r>
              <a:rPr lang="en-US" sz="1000" b="1" baseline="0">
                <a:solidFill>
                  <a:schemeClr val="tx1"/>
                </a:solidFill>
                <a:latin typeface="Bookman Old Style" panose="02050604050505020204" pitchFamily="18" charset="0"/>
              </a:rPr>
              <a:t> Satisfaction</a:t>
            </a:r>
            <a:endParaRPr lang="en-US" sz="1000" b="1">
              <a:solidFill>
                <a:schemeClr val="tx1"/>
              </a:solidFill>
              <a:latin typeface="Bookman Old Style" panose="0205060405050502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s>
    <c:plotArea>
      <c:layout/>
      <c:barChart>
        <c:barDir val="col"/>
        <c:grouping val="clustered"/>
        <c:varyColors val="0"/>
        <c:ser>
          <c:idx val="0"/>
          <c:order val="0"/>
          <c:tx>
            <c:strRef>
              <c:f>'Pivot_Cust,Del'!$F$3:$F$4</c:f>
              <c:strCache>
                <c:ptCount val="1"/>
                <c:pt idx="0">
                  <c:v>1</c:v>
                </c:pt>
              </c:strCache>
            </c:strRef>
          </c:tx>
          <c:spPr>
            <a:solidFill>
              <a:schemeClr val="accent1"/>
            </a:solidFill>
            <a:ln>
              <a:noFill/>
            </a:ln>
            <a:effectLst/>
          </c:spPr>
          <c:invertIfNegative val="0"/>
          <c:cat>
            <c:strRef>
              <c:f>'Pivot_Cust,Del'!$E$5:$E$8</c:f>
              <c:strCache>
                <c:ptCount val="3"/>
                <c:pt idx="0">
                  <c:v>Jan</c:v>
                </c:pt>
                <c:pt idx="1">
                  <c:v>Feb</c:v>
                </c:pt>
                <c:pt idx="2">
                  <c:v>Mar</c:v>
                </c:pt>
              </c:strCache>
            </c:strRef>
          </c:cat>
          <c:val>
            <c:numRef>
              <c:f>'Pivot_Cust,Del'!$F$5:$F$8</c:f>
              <c:numCache>
                <c:formatCode>General</c:formatCode>
                <c:ptCount val="3"/>
                <c:pt idx="0">
                  <c:v>7</c:v>
                </c:pt>
                <c:pt idx="1">
                  <c:v>8</c:v>
                </c:pt>
                <c:pt idx="2">
                  <c:v>6</c:v>
                </c:pt>
              </c:numCache>
            </c:numRef>
          </c:val>
          <c:extLst>
            <c:ext xmlns:c16="http://schemas.microsoft.com/office/drawing/2014/chart" uri="{C3380CC4-5D6E-409C-BE32-E72D297353CC}">
              <c16:uniqueId val="{00000000-C671-4C8D-8C73-3F417554E59C}"/>
            </c:ext>
          </c:extLst>
        </c:ser>
        <c:ser>
          <c:idx val="1"/>
          <c:order val="1"/>
          <c:tx>
            <c:strRef>
              <c:f>'Pivot_Cust,Del'!$G$3:$G$4</c:f>
              <c:strCache>
                <c:ptCount val="1"/>
                <c:pt idx="0">
                  <c:v>2</c:v>
                </c:pt>
              </c:strCache>
            </c:strRef>
          </c:tx>
          <c:spPr>
            <a:solidFill>
              <a:schemeClr val="accent2"/>
            </a:solidFill>
            <a:ln>
              <a:noFill/>
            </a:ln>
            <a:effectLst/>
          </c:spPr>
          <c:invertIfNegative val="0"/>
          <c:cat>
            <c:strRef>
              <c:f>'Pivot_Cust,Del'!$E$5:$E$8</c:f>
              <c:strCache>
                <c:ptCount val="3"/>
                <c:pt idx="0">
                  <c:v>Jan</c:v>
                </c:pt>
                <c:pt idx="1">
                  <c:v>Feb</c:v>
                </c:pt>
                <c:pt idx="2">
                  <c:v>Mar</c:v>
                </c:pt>
              </c:strCache>
            </c:strRef>
          </c:cat>
          <c:val>
            <c:numRef>
              <c:f>'Pivot_Cust,Del'!$G$5:$G$8</c:f>
              <c:numCache>
                <c:formatCode>General</c:formatCode>
                <c:ptCount val="3"/>
                <c:pt idx="0">
                  <c:v>37</c:v>
                </c:pt>
                <c:pt idx="1">
                  <c:v>51</c:v>
                </c:pt>
                <c:pt idx="2">
                  <c:v>39</c:v>
                </c:pt>
              </c:numCache>
            </c:numRef>
          </c:val>
          <c:extLst>
            <c:ext xmlns:c16="http://schemas.microsoft.com/office/drawing/2014/chart" uri="{C3380CC4-5D6E-409C-BE32-E72D297353CC}">
              <c16:uniqueId val="{00000001-C671-4C8D-8C73-3F417554E59C}"/>
            </c:ext>
          </c:extLst>
        </c:ser>
        <c:ser>
          <c:idx val="2"/>
          <c:order val="2"/>
          <c:tx>
            <c:strRef>
              <c:f>'Pivot_Cust,Del'!$H$3:$H$4</c:f>
              <c:strCache>
                <c:ptCount val="1"/>
                <c:pt idx="0">
                  <c:v>3</c:v>
                </c:pt>
              </c:strCache>
            </c:strRef>
          </c:tx>
          <c:spPr>
            <a:solidFill>
              <a:schemeClr val="accent3"/>
            </a:solidFill>
            <a:ln>
              <a:noFill/>
            </a:ln>
            <a:effectLst/>
          </c:spPr>
          <c:invertIfNegative val="0"/>
          <c:cat>
            <c:strRef>
              <c:f>'Pivot_Cust,Del'!$E$5:$E$8</c:f>
              <c:strCache>
                <c:ptCount val="3"/>
                <c:pt idx="0">
                  <c:v>Jan</c:v>
                </c:pt>
                <c:pt idx="1">
                  <c:v>Feb</c:v>
                </c:pt>
                <c:pt idx="2">
                  <c:v>Mar</c:v>
                </c:pt>
              </c:strCache>
            </c:strRef>
          </c:cat>
          <c:val>
            <c:numRef>
              <c:f>'Pivot_Cust,Del'!$H$5:$H$8</c:f>
              <c:numCache>
                <c:formatCode>General</c:formatCode>
                <c:ptCount val="3"/>
                <c:pt idx="0">
                  <c:v>150</c:v>
                </c:pt>
                <c:pt idx="1">
                  <c:v>182</c:v>
                </c:pt>
                <c:pt idx="2">
                  <c:v>163</c:v>
                </c:pt>
              </c:numCache>
            </c:numRef>
          </c:val>
          <c:extLst>
            <c:ext xmlns:c16="http://schemas.microsoft.com/office/drawing/2014/chart" uri="{C3380CC4-5D6E-409C-BE32-E72D297353CC}">
              <c16:uniqueId val="{00000002-C671-4C8D-8C73-3F417554E59C}"/>
            </c:ext>
          </c:extLst>
        </c:ser>
        <c:ser>
          <c:idx val="3"/>
          <c:order val="3"/>
          <c:tx>
            <c:strRef>
              <c:f>'Pivot_Cust,Del'!$I$3:$I$4</c:f>
              <c:strCache>
                <c:ptCount val="1"/>
                <c:pt idx="0">
                  <c:v>4</c:v>
                </c:pt>
              </c:strCache>
            </c:strRef>
          </c:tx>
          <c:spPr>
            <a:solidFill>
              <a:schemeClr val="accent4"/>
            </a:solidFill>
            <a:ln>
              <a:noFill/>
            </a:ln>
            <a:effectLst/>
          </c:spPr>
          <c:invertIfNegative val="0"/>
          <c:cat>
            <c:strRef>
              <c:f>'Pivot_Cust,Del'!$E$5:$E$8</c:f>
              <c:strCache>
                <c:ptCount val="3"/>
                <c:pt idx="0">
                  <c:v>Jan</c:v>
                </c:pt>
                <c:pt idx="1">
                  <c:v>Feb</c:v>
                </c:pt>
                <c:pt idx="2">
                  <c:v>Mar</c:v>
                </c:pt>
              </c:strCache>
            </c:strRef>
          </c:cat>
          <c:val>
            <c:numRef>
              <c:f>'Pivot_Cust,Del'!$I$5:$I$8</c:f>
              <c:numCache>
                <c:formatCode>General</c:formatCode>
                <c:ptCount val="3"/>
                <c:pt idx="0">
                  <c:v>312</c:v>
                </c:pt>
                <c:pt idx="1">
                  <c:v>373</c:v>
                </c:pt>
                <c:pt idx="2">
                  <c:v>351</c:v>
                </c:pt>
              </c:numCache>
            </c:numRef>
          </c:val>
          <c:extLst>
            <c:ext xmlns:c16="http://schemas.microsoft.com/office/drawing/2014/chart" uri="{C3380CC4-5D6E-409C-BE32-E72D297353CC}">
              <c16:uniqueId val="{00000003-C671-4C8D-8C73-3F417554E59C}"/>
            </c:ext>
          </c:extLst>
        </c:ser>
        <c:ser>
          <c:idx val="4"/>
          <c:order val="4"/>
          <c:tx>
            <c:strRef>
              <c:f>'Pivot_Cust,Del'!$J$3:$J$4</c:f>
              <c:strCache>
                <c:ptCount val="1"/>
                <c:pt idx="0">
                  <c:v>5</c:v>
                </c:pt>
              </c:strCache>
            </c:strRef>
          </c:tx>
          <c:spPr>
            <a:solidFill>
              <a:schemeClr val="accent5"/>
            </a:solidFill>
            <a:ln>
              <a:noFill/>
            </a:ln>
            <a:effectLst/>
          </c:spPr>
          <c:invertIfNegative val="0"/>
          <c:cat>
            <c:strRef>
              <c:f>'Pivot_Cust,Del'!$E$5:$E$8</c:f>
              <c:strCache>
                <c:ptCount val="3"/>
                <c:pt idx="0">
                  <c:v>Jan</c:v>
                </c:pt>
                <c:pt idx="1">
                  <c:v>Feb</c:v>
                </c:pt>
                <c:pt idx="2">
                  <c:v>Mar</c:v>
                </c:pt>
              </c:strCache>
            </c:strRef>
          </c:cat>
          <c:val>
            <c:numRef>
              <c:f>'Pivot_Cust,Del'!$J$5:$J$8</c:f>
              <c:numCache>
                <c:formatCode>General</c:formatCode>
                <c:ptCount val="3"/>
                <c:pt idx="0">
                  <c:v>224</c:v>
                </c:pt>
                <c:pt idx="1">
                  <c:v>247</c:v>
                </c:pt>
                <c:pt idx="2">
                  <c:v>250</c:v>
                </c:pt>
              </c:numCache>
            </c:numRef>
          </c:val>
          <c:extLst>
            <c:ext xmlns:c16="http://schemas.microsoft.com/office/drawing/2014/chart" uri="{C3380CC4-5D6E-409C-BE32-E72D297353CC}">
              <c16:uniqueId val="{00000004-C671-4C8D-8C73-3F417554E59C}"/>
            </c:ext>
          </c:extLst>
        </c:ser>
        <c:dLbls>
          <c:showLegendKey val="0"/>
          <c:showVal val="0"/>
          <c:showCatName val="0"/>
          <c:showSerName val="0"/>
          <c:showPercent val="0"/>
          <c:showBubbleSize val="0"/>
        </c:dLbls>
        <c:gapWidth val="19"/>
        <c:overlap val="-27"/>
        <c:axId val="1129253744"/>
        <c:axId val="200462848"/>
      </c:barChart>
      <c:catAx>
        <c:axId val="112925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62848"/>
        <c:crosses val="autoZero"/>
        <c:auto val="1"/>
        <c:lblAlgn val="ctr"/>
        <c:lblOffset val="100"/>
        <c:noMultiLvlLbl val="0"/>
      </c:catAx>
      <c:valAx>
        <c:axId val="200462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25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Where our customers live?</cx:v>
        </cx:txData>
      </cx:tx>
      <cx:txPr>
        <a:bodyPr spcFirstLastPara="1" vertOverflow="ellipsis" horzOverflow="overflow" wrap="square" lIns="0" tIns="0" rIns="0" bIns="0" anchor="ctr" anchorCtr="1"/>
        <a:lstStyle/>
        <a:p>
          <a:pPr algn="ctr" rtl="0">
            <a:defRPr/>
          </a:pPr>
          <a:r>
            <a:rPr lang="en-US" sz="1000" b="1" i="0" u="none" strike="noStrike" baseline="0">
              <a:solidFill>
                <a:schemeClr val="tx1"/>
              </a:solidFill>
              <a:latin typeface="Bookman Old Style" panose="02050604050505020204" pitchFamily="18" charset="0"/>
            </a:rPr>
            <a:t>Where our customers live?</a:t>
          </a:r>
        </a:p>
      </cx:txPr>
    </cx:title>
    <cx:plotArea>
      <cx:plotAreaRegion>
        <cx:series layoutId="regionMap" uniqueId="{90872512-BEAC-4A26-97A4-8665D327F935}">
          <cx:tx>
            <cx:txData>
              <cx:f>_xlchart.v5.6</cx:f>
              <cx:v>Sum of Quantity</cx:v>
            </cx:txData>
          </cx:tx>
          <cx:spPr>
            <a:solidFill>
              <a:schemeClr val="accent2">
                <a:lumMod val="20000"/>
                <a:lumOff val="80000"/>
              </a:schemeClr>
            </a:solidFill>
            <a:ln>
              <a:solidFill>
                <a:schemeClr val="accent1">
                  <a:shade val="15000"/>
                </a:schemeClr>
              </a:solidFill>
            </a:ln>
          </cx:spPr>
          <cx:dataId val="0"/>
          <cx:layoutPr>
            <cx:geography cultureLanguage="en-US" cultureRegion="US" attribution="Powered by Bing">
              <cx:geoCache provider="{E9337A44-BEBE-4D9F-B70C-5C5E7DAFC167}">
                <cx:binary>7H1pc9vG0u5fcfnzhTIbMDOnTt6qMwBI7ZItO7H8BcVIMnYM9u3Xvw1JdkSQcqgqs24d3qukKpHI
HjTwYLqfXmbm33f9v+6Sh1X5rk+TrPrXXf/7+6Cu83/99lt1Fzykq+ooDe9KXelv9dGdTn/T376F
dw+/3ZerLsz83wjC7Le7YFXWD/37//k3jOY/6HN9t6pDnX1oHsrh40PVJHX1k8+2fvRudZ+GmRNW
dRne1fj39/YqCb/pMgtX79c/I7+/dx6Sd5cadHhn6yarh/fvHrI6rIdPQ/7w+/u1kcj7d7/NL7ih
3LsE9K+bexBm+IibjHOChXz84e/fJTrznz82MGFHBDHKLQJDP132cpWC5JuUelRpdX9fPlQV3N7j
f7cNsXYv8FD+s8vDuJseyoSED6D8/v5zFtYP9+9u6lX9UL1/F1b68amVg62nO/588/iIflvH8n/+
PfsDPLTZX17APX/C//TROqL/gDYonoVVsmqqXw835UcWQ5yaFkWPPwDqOtz4CCHCKOViHe63abUd
7y1j7AD4FqlDQ3yVvbuAt1XvBXAmYH5Lar4yv8kRIQIzyfAM8Lco9QreG0PsAveG0IGh/Z90da/L
PUAtjijjFiKCzSc1OgILTyRF8nHSz5DeXaHtMM/kd8B4JnFgAN+ssnr1zi6bcQ8gW0eSM8wQtp7m
M5jpdQNOjuANEAhJa2M+v0Gr7UhvubMd0N4idWCI/ycBSnQPmP9qegb+WiAmiLDo6+abE5j2M3b2
Bo22Qz0fYAec5yIHB3IeZnug4FQcWeCeLWyy7VMaSzDfnJsmB8P+koL/J9lVo9cwXpPfCeI1if8C
hH+u4totT7wcAo5XY6s3hlYwd4nJLEviJ6+LwO2umWrA1cKccMzwE/Dfr/0UYL2MCF/XaTuyL2XX
7vHpFn/+UP7rIibV1PuIjak8MjGhDL02MQk+MgFhjMmMUe2s0Hb01sW34Lf2J0gQrAscGLrXyeru
YT98WUguMRPP85PO5ifAizijGJGn6SnX5+fuem1HeSa/hun21MdM4sBwvipXmb8P/0qPHlEW1mv+
FUiWCbGRNVnol/51d422IzyT3wHhmcSBIXyhs32kOAT4WZML6zmDKecpTPCzkOKAuY5mM3hXfbaj
uya9A7Zr3z80ZFdlmOtqPxEQJLAINwV5ylhuYVHSYlwQgPfxZ30OX7xBs1dwno+wC9ZzmQPDG/jl
qn0oV/tIUYsjLC2CCeevpKjRkSWQBGI2y3C8SantWG8OsQPYm0IHhvYf4BSbch+TG4pLAgmKKH+a
u/Ns1mS6JTAwC83KEW9QaTvS8wF2wHkucmAof2p00qR7yXDwIymIZIy9EgkTdEQFwVgQ4OAvGdhb
dNqO88YIOwC9IXNgSNsA9F58NczWyTBDKusV0w3JaZjulmTmOs67a7Qd5Zn8DhjPJA4M4ZspI7KP
mFkeYUoIeOfnlNXcYEPMbBETw0yfOefdNdqO8Ex+B4RnEoeGMJRJnfDB30dARY44NrkpyRxdzI+w
RQUW36vJ67MYCj276/QKzBtD7IL0htCBgW1raHCZ+Fc1lfB+eZFJHKGp/QeaPrazMEJg1jNhcjxj
YW/VazvmW0fZAfatcgeGvJu8c3QJDQN7gZ0TaZnkubQoITuyVp8AVgYvBORHTWtb28CbVNuO/OYQ
O8C+KXRgmC+gS24viTLriFNsmSZ+dt5zwKdCozDhHzyjZ7trtB3nmfwOIM8kDgzhZfKQZXuY0VCw
IsjEkgD5Wp/KYMGlwND4N+sT2FmT7cCui++A67rAgcF63KR/6eS+/vXIMjDFwgJavYksA0qGKYIe
kW3pz7eotB3ijRF2QHlD5sCAPknzhzJcJb8eaArcG3i3OZUdH3/mRUlsHplgwk0MnX7Tz6xk9RbN
tuO9McIOeG/IHBjenx6CVboH5g3TGnC0kPk9nJ57ZGDekOfG0GPwVP2Yob27XtuxnsnvgPRM4sBw
vglWe4mwAGdo3oLImb5W0yCQAMVIiMm+v0yA7q7RdoRn8jsgPJM4NIQhVXDehNW7q7/CKt9HVGVC
SYNYWDLowX020OtUDMpXYLqhaWhWjZ6yJ29U7RXMXxloF/BfET2wt+AkG/YBvQXNugQYOH9uNJlb
czyVNqVlCTHLo+yqz3a816R3AHnt+weG7NlDuY/Ayjyi/LER8Il0bWvlnFJokBuH5pOX9ntXfbYj
uya9A7Jr3z8wZG/CKg4H3fx6zj2tgaQYGky+N9nP5y2wMAsatE1kzcqTb9FpO8IbI+yA8obMgSF9
Bitv99FYYh3B9ITFEux5Kdwc5qkfGz6D2tZ8Eu+q0HaM1+9nB4DXBQ4M3fNVvI8mT3kEq5Qx9IC9
trCVHElsYkvwGcPeVZ/t2K5J7wDt2vcPDNmL1T20hP16+0xhzZtFIHXJn9sK5i2AUKgA0wxtgnhG
qXfXaDu6M/kd8J1JHBjC56uqetgDv4L4mMHyJyGfezzRPOsFCFvwMRPWzDTvrtF2hGfyOyA8kzgw
hKcg9FSviibcA8ywIkpCXwEj7BnnDZgxtPuBg5byaabP0l1vVG474tsG2QH2bWIHhv25rt79B5Zg
JA/7YF/sCNKchIrv7GujtwTa+GHfCcbBiT/nTV4GUm9Ubjv22wbZAfttYgeG/cVDeQebpti/vLeE
H1FkSevH6ow57GDZmcASUGfbYN9dr+2Iz+R3AHsmcWg4w8KEPVl2zsC2o+dmkg2YyZFJMbhvOUt9
TeszdlLoFXzXxHeBd03g0NB9yO71XbiX5hHo/JzSmpw/FyY3SDiF5l9uUTqtv3ppuS/eotQrKG8M
sQvSG0KHhrYGsH+9yYZ0GPTpS0iEPG8xstFMAtUsBkvbId05Q3pXhV5BeU18F4TXBA4M3ZvVXQm7
imT1PioVAuqRsOkE1KiemkZgyq4XqaZ3YPoHkt5byNjbdNuO9pYxdoB8i9SB4f4xhIV1VXi/jyQZ
hXU4yKT0uYqxWcYAtgbL7iABOkukvEmp7XhvDrED3JtCB4Y2LAqGhRoPw68345A1s7jFOUXPPQdb
gm3LtKArYb530Ft02o71xgg7QL0hc2BIX67y1R5QhqhZQk0DihaPhnozcwYdRJA4Q1DeWnfWu+qz
HeE16R3QXfv+oSH70K72svkXLKezCIflsc957y0zGEGjCTCxWU3jcmeNXkF3XX4XfNclDgzha1gY
u5e17vJIUovDEoznjvwNHoaOIOkNXJzOOvJ312g7wjP5HRCeSRwYwlN6Vz3AzsH7YNvQF2TCokgo
YT2x7XnhGRZNMkQQ9HfP5vHbtNqO9JYxdkB7i9RBIl5mq/J+PwkTaMyHtc6wVvK5Ij233rCYEtbE
I9iCat0xPz36tyj2M+A3xtkZ/A3JA3wBFrDn1F1Y3envEPyCLdWhysWh95NDl98r050cQQEMGo7o
FuR/aLQLV3wd+M1hdsR9U/DwYIdFtGpV/rXaS7MCm8CdEt2vL7KzpICmftgG4fHn+6v3tOsjzP63
qffqO7BlmN3egS2CB/kO2Ml+3gBIokAZExqRnuf/Ri0EH4FtwMDbZ6TuCfud1foZ8uuD7Iz7utih
oR4+lHuZ8rDs0kKwgY14SpZuxuDoCD4EoyC2tzXsrNcriK/L7wL2usSh4ayT1V5KYNNGg7Acfsqp
fc+Kr2fNYXsbJgHkDR6/s0avILwuvwvC6xIHh3Cm97EeD7biZlRakFB7LWf6uDWKxaDXcOa2YWvL
3TR6DeE1+Z0QXpM4MIQ/QVcAnHC0Cwl+44FHsJIa2sChVeGZfm2kXKBRGNKlQM9m3WdvUGk7xvMB
dgB5LnJoKDdAwfZR6IJWf4qmNbOvbDj3uK/gRMLMWQn7084avYLxuvwuEK9LHBjCtzrZR0YNjkzg
sMoO5ulm4Ro+4Bj2RFg30Lsqsh3WNekdQF37/qFB2vy1j0LW1F+EYV8D2Kb58WfLyWQmLN4QULCc
IbujPq8g+1J6F2Rffv//BrKvn0r345w/Z1Wv3McTAl8cTPfzTx8fDpxtOBN9buTanhV7avI6uf/9
PdQeqQnHJLw4IWMaaK0N7Hn31O/YrYs9wLr7398bsAMorLSbTqrisEAathuD0Ll7eP4IoiwuwS9D
uQvOxLEgd5bBmYjB7+8pO5Jg7DlsMCqZBdVOmPqVbh4/gqY0DJumPJbB8eNH3+/0WieDr7Mfj+X5
93dZk17rMKur39+DccmfvjVpCzcIxBA2T4JSKuyPJ4Hqw+d3q4/T6jB4Bv+nR4bflmXWXI5DbBdl
o/zKVKFI1YvnsuUyGAEHmV/IhGhyyhEhAscvToq8uBBO6rawIpZfosaUn+OgMCw75ckwHoNPM0ub
1lnDTqrKG28iEvsKrCH7MxLcv811JE5Lf5BnmKe5ynlp9tfBQD/SQbfasQafV2dtHFX0a9sXlrju
vKJtFxHWzGlZGyorNpKrLkoq7IZ5romru6RpbWH4XqTCysu+hPEgXVOMJXKq7M5MWHfJWZ5csQbl
iY3zOBkW2uupnbSNMpJKd4qHnaZXqMVmfN4m0VVZx51K86y3A3kNO6E8mFV+nxX+wqvQJ94Wx1lH
l6Zh6SVBcBdGHrqSeQuZumafnnjDUDg0TkOnKrGTDMW3QAQfx5xdYpJ/a2h7k2A/dTtWRrc81pUj
/bi5MHheXhaVaZ0mobzIZZq440gqlRkG/caiKjtmXoAus7rI3bT1ChUmhumSTlzQWl5WWdU5IxGt
44cjWdYZ/zxg40tCgsLRUWCWqq59wlVDSQCvhZe6kBAIXeiGhyFqssCxVX4uWU17xxJZ8LHyW8Nt
OC5d2aP+C0vCAZ4i0bWq4qZ0mFEOTmSOHwurFqcBTJzLn79jBObm/BWDHj5YtDyd/knhtV5/xYqh
LHy/F+Vl5aarrlT4ZrzhylCFXR9nxx5WgeO76ZK7pZsp85QtqEuOPTv+h3fdhBn9Qg8BHWZwtBEk
ymBPG4QYdAiv62H2Zdf4VaAvPeKfDknQ27FfeCrvGFGCx9ItWo8uSmKVofIEuvB56Z1iwMiKi9Qe
+HApPTQoQcavda/loiJeuoATYBeeGL9y0zNV5BmB8sb+zyLJuSJlMdi8iqjTdx5ROIhSZQa9O1C5
7HBmR95oF0x4ajTl8UixGghZwpJSrIq6hJdCMrtNs+OoZ46mrFQa5W7X+efEiwMVZyF22jxUaRpV
Dkziy66XdFn4Uawq6n/2O32MaXrR9AIpQ+RLFMOLxmXBFg2Kbn4O8boRgScLlSULOnKn9gAKS5tn
RkSOpJN56pWXqE2jJRiCBG4eZbYRBq6pQ6ZY4a9+fslpu+Z1NGfXnKFp9C0v29ivLguf3ppeafeN
r52x4scsbS504SHlW2WueFHYZlLVymTZcD6WTaCEYZ7rUHxBYVWotjK+eTFb5EVxQbT1AXnjnekX
X9MuLJwiK/KzR8WffeX1S1N/p/OhDP3g+czeH7/+zyedwr+Pp77+/cfpyN+/f1s+6ClLX82/NF3n
x7f+Pjl28oE/jpGdedanc4O/O6O3fPgmn0wBgR8HAm/45KnU+KPgs+mZJ+HvnnnaiQg2kIMUJ3SO
gmsG3/fdMxMKlU4u4G2jUPd4dNrfPTMs+IL2JChy/i313TPDSbSQIjcFwhQ6jeE8wx/nK6/BBZzk
+feXnnnDmsHlGYN2NojqKWJo9t6ZCWw7HXnleDXWfxYweZux/gdDNY3wt++fEreQ3BUwnRisUINL
TBq8cMlj7ll5n1N8VfWGKtHCTEJVmfdte/wCgH+8k83rzGatNnBelKGJr8y8tXF53vH7n1+ArLOY
zStMduPFnfi4yEgTwJ2QnquWfebymzYGWxpXsmldSpBdtbd5c9yE17X2FA4fomDh+9dEf6izG7/L
VV2cWabvCi9TPvvQRDddGji9TP/hUWCg/D995pPveKEpDQ2v7srpWVDXG1NV5H82bWhrzK46D9yB
F6tw+MYNogr4X2GF9s8f1XTm8YYCwEkf9z8FE0/QugKZ8HHdIj5cDW0UYhvLMjmPGaG1PeSsyG0Z
oaw5iQRQrr5SZtN9xElnqS7Tvt0iY7RLswgUyRvULmofnXYSzllYJukXktLTzkMVVcSI8OeegoWm
sYwE+LhaZVHkllZ5kjeDIm2xwPXgtPWwDMar1grd1GdKF4ZqrHFZ9vI6JdfeGC285kvlJUA+PlX+
RFoSVcaW02agQKdPqGnafEzUEOVObH7SYFkdi/pqLEp4iNhucHPOEbCm/HgovlTgFQeDqqLLznDN
PkTRRdSnyzYj+nMKjiSnI3W1/FQzy2ER+Ni295UZ+sxhYSEcJFLm6ji5rY0cfOFYKml6lRP77Pzn
CNEJgb+nJVDy9Yk/Z8pdKKuo7qvxCi3psXcyntd/0qU4Ka8qhc/r48IuXeFIe1hQ+7Q8TRfa6W+N
k3hRL9HSuggX0cXPFZo53Q0zMTnIF68sS5KGp9Mrq+MTHausc8pKFYsC/YM52vZmvjRHM4MnwnRM
ggCuY2Qq+dTfF74dNjYjjuX9wyTA64/4yV68nAQzpigBj5LKkFwF1I6u495perv0VVe5kbT9q+6f
bm3dlj9fj4KNpUALhTnnLamV9pwnlEAUAux8/Ks1rn+O0TYDCDv1/LjA7NmhLORZ6xNyVbVOY8aq
M+yq/0diu/Zibt7FzMrKXlrjIOAisj0bi9Pa+kSsrz+/j20u6eV9zMzjAL66LFOTXMHxWHafdApZ
H2V0KYP+6WX71ezoIrwrdaW/1f899GjKH75Oj15uML7JjibZH+wIToKcWjqAymCARMAc+cGOoNsH
ElsTCbKgK+Rl3gK2A0NTtgPWRXPo8Z3cz9/sCIiUCVvwW1MlYqJb36ni9Usyu50dEbTuSSczKfnj
KlsBa3HhuKz5HE75KLPWbK+SNiSBZ5eFRqdJj9lpNuoosiMr/TxEPlG8N85FRigEn2mrushygsxA
CtfRp96vz2LR37SoPx88HKk8sKRqOjGqMRxPZVj/0aUQxab0xAwtRRNPq0JUV3nfn1p5Y9l9WpyE
I7ynaVWpzvOl8rjslyWl36jwa7urikwhSC/YeUiJW8ZGoUYBoVEUCZslqFGyCm4HywtUlbDBlfWQ
OqjMPzGraRRrDGKbsW/TfET20NWK+UVrl5n3ZyKxUxNrsMuqcsyw+8tqYggLi9SBbVbvioiHNvjV
L1YBThzWVJzQXthNEUI4rMkXy2dLwfPR9jq6CERpKFqlx8RqTafV4rjq09QZWAtetO3/GrT3V1r3
V0gHhTLj+jZEMrRTFi/juD8RgZ8tcN+VTtkaWgk/v/ch+eP0OPuSazNSNGip4zX1g+WR8bKKh1WY
m95ZY4YcqARJVeBbrpEJ/JFUHLIE2gvsEAJ8pasewtcuPsNm0d4K2ZZUNZA9W+iotUfGQ5d5XC+S
gSI7MfvRFUEAoZgctWpIVl0MSPROnLblQugwd7wECGENb7MqqzhwjVCX7oBCz81QFZ6FSCdLIbv6
hpjt+Ec3toGjUeKpuErQxWClfDF2cXyry5achpxbX9oqTT9Csqa4DiwSnghc9ueF9KjTDok+JdaU
SzMYi869Lss919D9eVOOCVFjiry/ehEawulMozjJCPoQa4ndIOjyz2iAB7/0YGOvr0Yk/W9MJI2b
SkJUVw+NGwthDykpVBXljWrHGt6bMjzDFbmohxGeeucWELlXWXGLqkraRtFclkHWHXte3S84antI
50BKgZtBq1ifX7Ka1IsiRXbEy9otsDzzPMtXcRISlQEjcqxWZs7IYuxoLEKHpwNa6IYGuUvCG06z
fIlDK77QUoizuPHbP2QqxIkFx/WowEDe0hDZaFdG+a0nnnGc5pHTiyE8fbRhv9qa//fFupNVe92Y
v2iu2rTlk+gLWw4NfBgKxLAE9slgv7DlYFsZ7ONqQq4ZNu39OwfNYRsDKE1AQAvVJ5gZ4O+/23Jo
/4azNeCoBYKgqAze4S22nM34GNhy6CTiEgkGlB2uNinxkmJy7OMkKU19RUQJKZ26JzbuhsHt+yxV
pPfxSefFi4QOJ1makVzJLLhNJT9N23AhZL2Eit0lb4qTyDSuRsNzEUsHO4m4Pk9Crq+isPxjQOyL
kDlyRDVAbs2o3XaIP1mldxWhelR57AO11RH/0Pt09FU5RjlyE2Eh7QizQy7u0eUYhK0jR5iggRck
dmyKTGWoBoOFpTtGkATC/uBg4bujp0MFGQR93Fhd6hgeu+yHnKphGCPbkpXpBH3dO22LPre4dng0
uB2pIb8mWWxbKCyVWZp3FtynnacwLliWdNG0iVao7yBMzKI7GUrhDp7OVJMGsUqG4GTMmHeS5JFl
o7R3NXi5JdI0OTNNozv3wgC8EyT6bEgifw6LNIZMdo2B90ZX2qhtMxpC1Y1sUVsN1PALy07i4rPF
/au8wJ2itDtnfVgsaOE1ysuzxsmMJLc7hgpblvBM46K5yPMot+NBJ4uxNZZ5aZ6aGfkjjVpgcVN4
20FgNXb4mNMiUkMc3reYXvjZeDmStLUbOLpYNVH5JakN22t0o+IwP28CAY4ZTjS2IedtG2Nf2zqG
4LjSEVV5DWnPhFgnUW19iL0hULSDtDYZfbdgqVh0hr4rCAkVQdUloZ3LCmOpUXqepuEVTpozSscS
vFl1VrTwznhNdV2EVq1EDI8GtWBymdSqyny7ipplUdALMJ0Qa0lt2EUb6eMYZ06cG8syMiCQ0NXF
GBeQAyzD0m6E9RFWQ13IPNFuObS9zVLGbRJnuaJ6DFXCaog4YsRV0nluBWFuL/tg0UbZhc+8r0PR
DovEEEu/opZj1ugPVhRfI1pwByeRMxS15YjQ/+B3+Bz3qTP6PVQD5H1pdbmTQr7R9irrxC9CrEbL
PK+b6irUVWF80Jon48PQJ/ExB1cv4/yP2PMLux3bsyoc2UXWxPlpVMtbHaOPtVneixyYBlCZfPQX
fmY5edWdytpYlIic6SS4DLU+7aPqMtPJdZvFsVNUQbNMvKY7sTzz22gZTaSijrJl2HgcXE/WjjfE
Gi/8oqyWOAm7hR+aveqoBddlyzwplx0fK3fgwXE30uvSvK0M7Ku0kZ8ziVUS+WclgQR6WpsnXUCV
n4/XzQj5/Dbs1GA2H8DYqbKrHUJMKLeEPrx9hXdNq/ocTk7WKhb1mW7Cj7CLi+0N/s2Y96Wyyoaq
oA8jRcoaJkrKs6X0MSTrhyRc0NhaJn7oHxeJAWaJBMLVQ2Iqo4E3J8uBPmaYMJWO6bXojS+cZd90
ie5TQWKb6eSPMfPPTRxT1Rc5c0xgRgqVHlc8yv8SjeGdyzi4CHsBZgKh61SnMBl4ga86mjzQkfcu
GruHpjJGlVr9R9oN+QnN2q9Yp4uCoS9DyC9EUixkBamrtIf5IljFlpCu/jPrZePEXbbIxbBsPe2g
vLyWYXKGrGgxVpCWMwvvMuJ16IAzP9bZIE+5YX4WjefAlVubSvYJw2ZIy8CE4tNY4NzN+6h3C4Nc
9DANrrmWH82hOu4TFtpZ0qaKA9cheYRVqClRJq8duNdQ1XHFbBkWq6DIY7se6l5ZSeJiob/58i7M
+ceqph9jeCbgB7BN/CxRdSKuU6g4ocAAFNuYqdzjJdCfLrS7NloGRcFVGCVSDbVxH8JwQsSFY5r+
aWL6lwEUFJXVhO0ZM3DmAqDDsUn6j32WODjNoSqkocbRiOxY9gXQZFH6J73ubc9wYkHPAiksu0n4
V1SN4QmYY+X3zIQ0Yb8wguKGhN4S4uLS9gOrcfsQj0r61V1MgtA2KrosTT6qFpL+UFkt4a3Jbxqz
P2eoimyDFssmA1sf55edzpOTHHdXft1/RIN2DY8OC9PiZ7qQxwY2uk/BODSLriEPsWx6VXH+IQ14
5I7JSJ8SJP+fT02nAL3Op6adLDeJ1OPJQc/FfCgZwPYRGKJNKHNyRF8GxfQISUag/QrS9dZjPPq9
ZABlfgGZVmjBhA8RHCb4N5GC5gBYLInAysApdAhSQ28hUpSu59CmoPixXEChBAEdJxAgrxMpSQmc
q1Jk5lXcJv6Z4aeFd9P3cVYcQ5ASLzsGDnbgzLcLYULZN0lOWGl2ttkY5nHspfokHUh60XVIQjSZ
CLTomyFSjE+BXIrBcmYRRNBAT2I/OzVkZF7wEcp9fYIWVurDpKjjhRzFgxm1lWqHznc8j42pbQX+
WdZ3Z1GWLAzRBiokUfOxbqsT0vbW16SXGYQ0gXQ7HC0TpKFMmS874n8sMBANZEFsUxGI+7K0PK5H
fCkr+cC95kNIxdVYiBMi+E0ojKWhqy+GL/KzzNNnRSBPyoCFJ1h2QCl8qPgHNykxP/uh6BWk6gLF
Yprf4Mq/haWMJ1TkboS8WyqT1VRNUEMLZdu4brtlFYSgM0SllFIIwEuouoLFOysmGx6X5AzCxMsi
IRHYcv+iSNmqDOqresy+1fCglay1PeoO/JKXn6Y85naq62NTQlZ5AGsBfSBKgnNwYxJ95lCQcSgf
TkfP+CLK4MPQMc8O6uik8YE3FLwaXQk0R4usVzn2LDuCCizpitt48JexNrRt0nJc+EMy2n4e3FUQ
AkNuH5tOhoelZYSniQ8FXPBKl1kO2dWuTgInLMs/ci9gLi2/NdaAjq3Yki5wglj5JrAMjr8ZfRXa
UKG9KpIGkhhhmNktLz6JUhjnhkyOY7P8kPjVMQTq4N9bbUd1zm3Tz2LVI3/4OmTjqfDZPTcr6kYt
JFqxHm9ZmZ+aPvvao/FDIYxPbYlvu9wrFbTJfOMpg76LDirmeRVdpnw4jiEpoEqGKztquodeADcz
sOnbQe4vItLcDUEJVNWkC97GdwNEO1oBLS8XJLSqv1qJyHlvmkECNKL3lzX0UiYQhA/ASsrSOk4H
3GfKM8NGQkG8HLiqBTdKlYI1cBDhGVTugfereHriYxZCqcarnRi6lhbSQOGgvNjwgQgEwfHQoqsR
JsOHQUR8GRui+5Az6KzpO3JKaURtBqkiWoDMGObGVeT7FPJUSLsU3jYFJRYaqxgPyGU07E9S8MXK
LHR4KkQ/Lnlrdq4Ow1oNQecrBM0uXZ3eCeRfFa2vFRipC9oAW4Oj8D4MFfedKokuCwuK+AT/2Qlz
uCmxEd9mGAg0KdIK+lV6B3tl7grIIqjSorELhSKopNW16jOIWyiGOTsde71MiTQcnqFR4a5pL1PG
3N7XUnFjuIhJ68YyI6opykA1iYUUCau/ysZYYpoT1dLyJLOAYjFTnBoQkZ5iPxGOnlgCEVn5lfCC
KTMTnQuZBEtB4QUqRwFPnBCCoIWRJ6k91iO6KzD5EqUptM9U8N2u7MQyG4G/xXFiLnVaA2M3IrRs
40IrTCZ8PStVI/POChksk667DGFG2d3YnEay/BB0cNfIMBfY12d4oMsw9WqoBSWVisbyAlKkwu4D
DqxdNIDQmNh5BTFAFAyLNEs/BGbInDLi0tbCPBN+A5WEHC1DM75FbblsjOpmjNtWQYgL6a4Ouk9w
fFE1pb8YIHSzQ14uvTw/tprqm0+9wDEhCndyI4EJG0M0fCH69FNaRcm5DNrrDJ6o0iyUbqqBT/gF
Ojaj+s/ByhYdy88aTzz0mgBB1ukptCT1ro/7JZSAb/5fzLi8dPaQmYa0w+vkwF4lIfD1LFxtSn3P
s2BYID1tBwo+HgoUkzf/O2cOiyinTS8sBoum4ARKYA7P9IDBEhvoQrCgAxDWV5LHZoPveRYCOXgY
EBbfCjhoZ2oDfEPOHMM11iuLEg5dgv3CLVjtQ2HLWuAhL9Ms9UihRto0/SX0okm37bwgV5pGPLZj
3rUfLMMcTqMe4jcXIUj01pq1n2NW9ZBulFnx54un95zRf9nfMO1AP9cGCgiwfT3UEdh0vsy6NtAl
k8cyABtCigxf+vGYQZMD11Zg920NFqXtWHPL2xw4f5mKurCLqITGQA9ab5gtJM/uZV2jKxgjaByS
JPjzaBoCLwfL9B7wYOB+8XONtzSYwd5C0K8LDSBA/sS8ds5CHgC2Q31Je9P3Hasfk88ttHbSRc0H
bf4ve9/VIzmOZf2LNJA3LwusTLj0tsyLkFlVScqRopNI/frvqPrr2ZqanVkMsC8LzEMPuiczMhQh
8vLe44SGxwZ93WVtXm5ZCjjFDT4q5iJdAHic6+/UKhVUnTcntdIdX0o9UX8pIWQaSEMgursfTHGZ
VEFVDU1x8aqouBrGNbFNpzyQu5Iu0/Gff6q/vw1AVXw8oS1LsTainx/6F3o3cx5ZUVkxu+u2eOUE
nSzaohBLAxiPvV+tLJ7mNhg///O33dfaryw3Ol7QQVm0K0/2/9kv65e3TXxL4lkRdsty9HPBQM0t
U7Lq8pa+/vN3+r0n3t8JJzseYYPHDe6c0d++08xiB0UA5Hj57MdvYuVyPLY6d2E5zLTxhUGjFPku
R8cSJev0Py2av+Wa99YeCwWP0ImjOAVU+vvbQ6nYgSOZuttMDMnb1JvkbRj3a0i2STWp5BzjPm79
cR3FCtnHwLMfeizUeS1cfG3TSPpVtPZ8AETPppdIzqCyaO7cj9lb5hqSjAltVsFjeUqidDP/Ayu/
Tzu/3ShI1FE24O0Ooav8XSHspyZhSdJ6N4Fpp7dOagVxrjdoFpeRc4xcVtoN7wTY6rXdBD2kHDBh
FQZL9qGzbeOVoyQD/tEvPzoZZd+XZKbZH/g/JGj/PRuI/uD3q4xi0N8IANyf7ovd+ZtIIZV556Pn
jm56iFhadNa6oNsRGGtUHPRiTCWt8B8A8SXgJSgF9xSwowrlfBzjOayGUUyP85hMFrjFSj6tPWYh
p9D+zImYX1I15HUrWFsZUItd2emoX8sWCtvbdfbUnfCgHSEkKPrS21o2VeFCp1OS6vEx7Mk9cSyy
JWQU4la34lmHk7cTKyG+yA5Nai1js6EBWfP+eqRJ/qX1TXyhaR5cA9Jbimr1aTxV2F3d2culm8rV
5VsdgD6qt95+m5XQT8b3Mlquk86gOBbmHLdh+CxosA7HNvOCrtzo0L5jdEV33jHhfTVTNtXzrMLz
wNl8DkQxfu+WOcW+j6bhqSvaXUslYnKRrTSVw/dwhC4d/f8KcDleJUQ8gQ2WZkyA31fLSnIgiGBi
m0lFsjZzcUdbj/h1EGDYwVETrhXz+7TMdTZ+tpNPr0JZzE9JpJOjKXovPKh02t7yFMyc8m2/HZYh
JwfPWv8tVOP6ocg8J9UWatCmjIQLOVjdc2yOdW0cWUx+kGAP61FH04nhV0uwxhIC8WVasrJXfe9V
WbvukxvowjLWYwvVucemo0yHhsTG+Q9rFMR1p6Q/lj1Wkj5Eei3U0UaZvU6HbRvbB7MKPUFK1I2O
ye8gAsJw+6JWz2YTLQuJUs6/hW7qdSRLo42Z/Vs96GmwoJPFdlwKo9vzJLtuLvtw5E9+5kXn3kWR
AUFbgHJ0wi8sbhd4tJqBjaOVHodVQB28Er+SwOzbOyr8NAP47LKV1gByC32dAjfDilpbHqi1MjgL
D6lH+/ZuwdZJ94l/RksfRIOaDmzsZFGOAodX29ilSyuvRfhDggHVZzGe2d5OE3TsZm0P65iNU6Na
dAWHhJFpq/ItQcVk4RCbaqLSGyFtdUTdq86bpoZjuP7wzJJ1fu3zUB+7ODf5beK1pL2wKNPAEipm
ldjcSfmobrSZCc2mplXLBvBSKtYd3JhO7gQGc5qrJAT2WmU2ceMRtETnVbit4SdvnjYMylE6TDX+
8b27sfc9ha+csU+YDYrpHMlCj81Adfq4GR1Fhx7kd3BFV6oyDEc0pPrYymVmTziMo0tPtnA4mBlX
0HA9EjDKgd2AovZuXm+m3GFpe9gqsm6DwFwkuKyxJm1EDOahBbezyxT6E7b10fZjHGDKrcFNjVMd
uYmKc+B38Yl02ZCCARhEVHe8a+vNtAMQ5FXOxX0PeiSuok70QHjnfvOu/HaMD8HcAlnJaJHNTeDo
xs+0C1agBUVM13L/vTIAGcSwfEgkKvBDQIi17byvEs+Mcx5Y/AHDfoCJFZxDvsRe9OzGNTS36Vw4
XrNC6JsEOOQIoiEb8IJiAsxxAGEUsC9bMDJ6EW4a7UGtyQayWRP9HPdh8pbYdmrLHBNTdDDMZlGj
UugmMF0H/VSPkRhUlYPZ6IJOfMHUhc6iJ/3yBMfC+j5LGp2WbCVtkw+JD7o5b/F3kpH39sDkEtxu
EKfGD0onwXOgPfzGmnoqr3TggIUv4dR3J2nDcD2zjKjwrvOy4pX5Yl+cfS/UMRsVVffWxTqvfLHi
3tCV4cK4QtG9wglWvAJIw+qeUCVlDbGJ5Wetija876UZhkfMpEV8tnG/mhtt9d58Umfvk8FLQa+t
E96a821bShtOeoPyPds//H7pK+oTrmuegts4YfgURiT4qujAh60qhgVbZx7J0D0wmWHLS4OugOBn
qKmhZvROBLGTrIxm6uN2r9Kam8mjsyo73wh7sAjIjBrAU+FeNLCZKnwiFBBbBHufrNn02oZRccmX
rsvLnCYD1oUj6dvKIlyGlb17jLT11RVBm9tf8ZkN/VOO0+KomB/cioKIL7EPFUNJY9qFF56Twly1
lJOldjITKxpczMlziK+18jPhvg3jkNxbo4DdCd8tw6cVgKA6Ta03fbit2GtIJ4A0YQ7Io6YLHVWH
OZ2KTxAJTIdpnQlcAzHKnJMrfey4VlfFNPRJnYQyJCh7uyZkoWHxCqZtIc0YMmwTkL1RcY4ZD8SP
CQXZXcCCY2+se8VuQAfjG7WgtTC1J6u4CqQJ06otYEbCSRstPlpv0X+VxVI8ew5t+mUrtAy+a8Wc
Kif4uZZzt4b4U3YK6FbFK0nJecZtWStvKNLDxpdF31iXjU9APAXsHQq2ALskp21NcXMGP1Ab2KyB
8xuW2vja037MGyrYtFwRt860yhPwNc/oRNR3v2AoIyidCqgiVasqi3XJBU4BJ55GIoLuMzCzKF/K
DR2Ye5l15BX4Y6qVDc28gVy8dl7fKfG9pRozlQ7nDjazB6u8FrpaI1TXdJvBIu1C8Kb3dhi35HZK
53GEEHnx05s4oLGtHLob1awUeEuz5qzb6fBsQu1QCkyNjayslxFU/XHLBVb/EFuS1a51vqraWaXi
EzC14LmnEmsNJ13xirUOlIkVADQOJpyL/pBPNF1La76EOeRWAZCbJXtJQiZWAHJExzdxO+bLo2hV
AZ0OwYpuoKDC3cTg4Ox1F+mBX2dyptF9aP0xPbdwyuBzWeuRm0F681pPqkXNQDdm9M04trh+WQzk
oGg+0Hq1vn92Isa+d0DouxJOqewP4ez/NovyDzWGvzow/uP/nnZl91/9YzgFEoI9DeFXLOX/Wy7x
sj/xFNAtcQwjRQyEAGKTX72TcGjsD9CKkiD5Saj8CaYEf4G2cI/0h2Z9B+Ygxf0TTEEyJZKggaSg
k8n9XZv4L4ApcG/+NnIg6ygockyW6IxyXMpv9gk0jjYVQk33LJjj+EaFBgoHZzp/SjAZrWFRWrss
eTlm8zeIC75ufKNH67Gn2IPcL8re3bKi+THkJFEBxdwx4M1oKUyc3fo6EJXXm7Hks43LlhdLnRBH
D+GcYoCZya3ntUO1LFTD3sXvlNPfvXSYy6RYv8ezhxLDVWUKDGk8765sDJl8VPQ33izupc+TmtNo
u0VntNS6xc8yJ797HLipNPJ96fRhmwZ39MP83bPBga46ADxNTlmmbxkEDtiutAUivX5Zc+9l1G6s
+iF4ihL9mSA38ljkUC1AWpreETz/sgHupUvIkiX6F/KWZRs/qgSAaA7stYMKm8diLOkWPgEnw4lj
ugcb+pfJT37EejpGcn1TcXcVh7CoSs+rbB5eobXDbxenyZefTdSduTVpzQbymav0c9G/RytI7jj6
porimwzVndy6Twm334Y4n2pAEhtUPem9h4sF2r6eJtp5ZY9hACeKAS47dE+qi27N7N1uELxUvQ89
nAvHCB86n859gFqfBFDfrX587yXreIUiDLuAh8mS2OCqpyk59p5JD4KMN1QYv8mVxRzpXUDVwDuQ
6UvOl770i+ludjHk/ANoLDmz8Oj0eszBqdeyM5D/uDE/DhmVde9PS5MurW0SE0K/OuKnmQtPkqyv
bZ4dxs7cp76BUJPhdPIKcZQxq9Ag5SUZhnOYQOFkNQiDeN1cmfryPHkw3srQa4/YaG218uUKjcUt
xa3Ab8r33pOPEIXeY+44kz6zVRr2x7iHX0LHp2InS4YtfdG9KP2JvCoOkacfetWwhRzOkTTG+FjQ
Q262z6wXc03C+dJm8yfPGFWPan3xCj1DqkRgWx090UTL8OS80DVRiCkUY+PHpLyp6vh8E7vibogd
KbWzMFHy9drYZW1sbvldtk4Ee0Xmdc+7sGqH4rRi7iqHSNo33UJx6KsZOgapoHMd+k9mqLOxe4l0
MGIFdlmDvVbH8WIqTKb6yJSGOxQN+ckGISZE7l/t/X/MvK1GyxnVm+c9wDxDG8fEVmfhdNuxkMFb
YtOqiyIYBMm2H0dvAyCHfa09xdHFcx+DL6bSI/KRZ6qJnO1r4BCw0/JXzHIfIHShcsriD7n5XwpV
XPvreDs7B5VMkJWJ8miTOsjg3SQeqVFvI2hVuFzOOd8usSlGABoW8lcAkDim40rm7iNU8ivxzNXK
9cM4ezd66YcDbOL1NtibqIAeKfCXAXwLYKfeDH5pQDBUUuuPGZNcOYKsqkebvXVCfoVVzYfiyhvK
kAMPtmueXvTODStgrpDaQVwXFKJMHbwhy5h+0yDQ4eEOuxoF+Qr6T4vhwpgD3ZaLbsGhhpI8ptS+
9V1CyjmGMVILdBczgehDxeCrp7QWtNsqTe2TTgSa2541o6VrLYYubBhLJDYdx5bI05tRdn3DbXvL
xwi6HdPaKvPIE8jnOz4XT0UbnyLr8iplGK2NGx9BuNwCsBEHovPxs1zBbbbrcu2BxIfWY9/YSf8J
j4bRZbqsmHyLNa5ISN8t42lp4u6wrOyCgv7oYr6g450sCGoDkm8Jyy6BjjrJ8yP1OwAjKgKnlfLn
NmcX2qZxNYjxWtHlATJnVoawJbVdpIBKyKBhZMRrl+UpSfscHKN5h8oNIvFZtmXIQlqlvfAqsnkf
RRzgvKCyg2zZe8Cg955G2NtizCAsn3KvGi3BMNpu7NYXRVxKLj4H+dRWQD7BfzoLOTtMVCWFlKDm
qNnJzPxD3/n6MGr+boruE5+xkNaWHZwmcFPjlpc47mS1RmAnMT2QA+gMfKfAD85RtJ4KEgMXoVAw
RhyGKgP2gLrhYcWZWOk+5/hiVA8lEPhaiLGx3GCGrg2AmTKHhv969ra1HuL+Bi4tDqlgtlbEB2nu
DelLAqsYptnvCU/uezL/sNALlSruP6ephmpRQlafGnYNEFPcZsl2g/MfSF7GTshkOOtxllXswl0+
7fPPYuzHs9rEC8QSoh5Z9Mlz8Z3u9PdVjIei7V9w2PtXYIxZifP/rDpyl3XiudiGU+QpWP8pZNTj
Lk90MZTVCajbfVzgS7ziUpKlBufxrbPcqycJ15zg83ZwPH8M2kk0oJ9jYASWNfOMlnQZTXv2pXtL
PSwGTZfwMAz5s2UZ3H+td+kIeQO1WJMBjm/bz0cuOF6fzfd8WIKSFz5pwIB/m+HePhjdYWqDyL8X
6b1v0lcep6AWR3vaSPTR+2uGGhsYiJCAuuSWAazNoNPWgDdLnzssvz7QOyZZlGILvqRquYUetWuQ
QzCV0kPVRuwCqfvMrVXq9W8+C2+GbgVA1bU95JDzVbeM+Kq1PLoNI66JgPUYfzj1EDUB2o9w3mlo
sUTYsor3cmwQK/qdEs/CVUHkAWJQv+LTskB77yDy3Paqmn6a4FksCWmTahLeMxj+F1mA2GcdCNd1
vDYqgPDE5Loiios6jOkTdP6iaUcNzYRR1eQXLzEz92RciwoCwLWZZs9UIsV+ihZ9sARcK1SZZw+d
EzZk71drqN5nMt3bEOc5vi0cIf1JpP5abaL7sUIw583pR+p7z14EKDaboJEbiuEj27V34Rh+W5y8
AlMEyUeWfFNLdhQ5MhAYCS4tixhExEtc2XT4RKZJVcLKsMphJ+m96UDadz8n12gM4jKP4akITH+Z
ExlUM1wjt2HHz62Q+Fk+fCEetI3T2j8HElLk2XiP2VSkZQjwOi7WTxY9V5nSDfbWmbNG6IgAxwU9
PQ0CHycWGOlWCVsjj69ywe/z3EEYmYmxwr77QI7/BFAawy8ZooO/mM/zskstZACdB5MV1sJNlHa6
YUkPqHOYn9IO9whocIT20qJOS3ZjY8kOMo0vQa6/9ZNTVdDBz2x/ajD8l23sLtaNz2HsTfWqUFIz
/31ZNix+QBUQzmRrDSvB9azkgfk2L32A8iiHPseq7X8U6I3pktJytuzHNkmM7xAoEbmdwxCpHn1f
66x/mRcoDRW6PIBb6DMFViYt1gyq8Q4XabKjb+VHStHSZdx+iSb0fEsPmm7sP5uMndu2renA3tp8
eO+1uYtjcZk6HdRksgfgojgpIwGHafZoadDYZAJMJPiTVcVpjotzAZRe+P092NfKdYErXUQb2o5N
J5drCcTJdDMMLD6MJaoPXCVIFg4PI9vSz453aX4rvGTB/5HoGdjLLkVMZu/f/ok/hsl9aPvHM+h/
Tm/fufz7EXR/1V9HUDyIGQ8jCWFLQKecwNP/X5R+8BeofmDRB8EXBbuq70/BX/6XDPkAiGv7w+m2
z61/DqEI3IQPIwYb+Yd5LvtXhlA41X8fQsFnFj7GXQy8GYJPcHm/0qh8TrYhca2688foGcEwT6FK
riBnfxjsDKneEtML8UELBfGpd66vp2FosWjTtdLWtKUvZqx6t5oaQPGjH28bpFRZUK6xTku1BQ/a
F6CDC/wtlnHajP0cnAsiQzjlxieZYbdtjOdlwO2NJ7ArJwYDAOxTXuXZpK0B9/fNuITIF9CruPXZ
9IwH/EA1uGzsug9DXfIUbibSKtKEY3aMVUEAUXOcL5TCyS3ZM2U5FP4eMnN8qc5iThCDokmjBqDJ
WTz9AOf4Cr7GK8cwOfHIe/K2IcAOhBJ/h2a3hLxDj9GXIjHQsPO1YRLz23VAou8LfZNRpQty4rwl
9boY8K8blOqZG6C+Ge0AI4GC1Nn1b+vG530o+m70egn0vMLegQ8kl/asZH7vkMVTOtZ427XRwcXG
+dekT8/c7+OycIlfF1lyLYm87yZrIY/Lobywwd2Qwu9CfAP9M84WHWWq1ISocyb3drudHkOyxg+F
R7/ZkD0olgOEHaMRhhMaHELBQ8iAl+AQQbjezC3XzTjIvm6HNUCgQ34ddvSM7gv9J46wPmePdkC3
5W8maEQE2vinFyYtwOchdUU0ROjliWg/qtqg+EQ83pewzh1RvS5qyJ7jYnsLPMKOk0P/52uo+GhR
8xDukxk8Drr4+bSijlWpFpcowGfZpDgWCAKohjZg/v0cI20hbwXeGGPCPPC7LZbfOg4vfwhLNBb4
W8E7gBA91KV0CD5LsdxI8FC1l8cQVqzRD7uaH0vm3EFpCzWkytsTqKF3qBn9kuNSqgEC9kO3mqck
JOpqyv3L0vdf5q2AZTnYqoTTI1+9a+HcXCrY0RFigGQgGEogu1PqVvcbts/yTHEMC5rlJxZhYsC5
/NRuETqw0HwSUXaGx4Oc8oRfAG8Ao4FB8JArdk5J8iKpTy+LZil0gtsT/uZ6LWBTBTbPeaMRFVP9
5GEWCUItKPabZyNX+WmbQoIXf0K/L2HEwPyqFGMXDBW2sl6WldR1ohzVqKvNKv6Z+C05MUrlfQ/T
F4wTorbMBZi2p1ckB+EU1BTQN5R1KoQXCZg1Q0fUG8DwQ4fdrkM0thw60j6ltQzN2d9y/yxyes6C
djymuJZSpJGDmhC7NAd8i1SCreQCoVJanHovxbi9adCkENLNowePSRLrCjQNZtSYZkiogp1pH1JA
ztRevPftBUydy0tg+6tEmguPEHQUy6clQ6jWpqYjBaRVsqndSjYEt4s1Lx1PkAXg6P0Um4cBOEeO
yVVNG1IhwAYMkAmVE+9fQaVfYuufnFLPGpatUhjmo6Pl6CBGez0o0WS+5IfJ5QrODnvTyuhhYG5s
7Bo0GWCJ0Bj0msp8xEn7tSPBHfQKt5BX3MNJK6p8Ue9tC3uKGbbPI0XERSzyHN3y9FVNGTBmB0BP
h/Mzp/GV9WbeLCNWDfQ0bniNTJ+cujhlEWCxJAQwByY46Xj98+T63wab/+/ByLvx+x8f4eBz9Y//
5gTHi/56guOYztL9AQW7Mz1Mfz3BIb3bD05EPGXIk4KN8c8jPPb/gsMbxnI8NhT4/0+P+59HOJ5h
BYUJZtskifDo2CL+l45waPj+VmCT7EKoFBI/ZPjGgLt/O8KX2SoQ6zRCDE/sY3Mv59XFooY4N4IU
VxxgnzE4Pt2nLIQfV5H4m4zya421VSc7d9bbNj5qSa/0yn34EdkNtK+yzLfZ1BYjnJWpquNC8opz
8+4K9oV2pAGh+4hh+8icvoRR+Chg3cPc6HawIVSlDMJrNoGaJl72ooaCV2MxabBa7Qvc9Z8SUPao
txsgQTvdJSS6C9a0KQS/ZKM4D8kWnbcFWVlmAECwUIA/w4b4uPkjnumjWUlyYaQ9ItXqPYcGulDb
q1UTZo9wCgFLDJha4onV0dxWvuWmymb6ugbm62AxNtGBnkID3+MMw3g5UegsNOpt1c3R7TCJyzjA
5LBK+SEWGpQWsHa1jfndLiGuViLu+mSZL3aCU8F0OPWzCaEmA5Wkwizd3qqU+zWOnA1gR7x95OEy
3C5x9m3r8OXO7UQfQhBdJVXyB9V+cdPz8ZwUyOtpwxlxNkzld6qzU5NlK+6awbAvCawHw2RXkN9I
rkFJTo/dHi6TSvCEsc3Ig0+i4LjNPfAbmDLQRCHFBrIWICZTRBrfjf0piuwI13oXHnu6C9Y2yK9S
C3oUZQ4saxvUgXU+1EyqO8T+3B5i2MYaCdvUUfNoaljUXwdMXG26vxsYQBFHNsiq8w/k7KRlD6l9
4wHyrh1AvSZoM3eEm3ts/J7m+CIC14ApLY66hzm8t9IcixAk5UQkFGig9x/ZmuVHMye0QfZhf/J9
DE3LArxcRZH3MOKRb/DF4ZMKm6Zll/rpIScwnfZuzUvHydx4EA2AVhi6S4Ij8wis7dmF6t4YnzXU
y13J9fzOR8QsdDSFUAWY1mUuUIrh5gLtsu1fUReyr6tK+hcGhUSpaMFOzkBVCgcxL8eWBXcJ8gpA
n2wtmMIM3zFAjVO+gv6ja4wmODPdd4QwZqXfZ22zkMk7+bo/mGRs2pbhlAVXWk4FLFvQ1EwYz4HN
ef2a13KeRgBhffqwBfaht+YRtt+hgWcl6KoxHG+hsYLjYxAfGvEvGmr6g56BxIzFKG86UKpVZNN6
lCI9p25tr1MvW44Io4ofQ8+8dgXXXu1rY9sjDW0AT52Zv624qmwDItvSfixVTsXR69wznGLBwSJV
ofKX4sKmMEWYnwvKYjHn0SgHkBldPvQtTceYd/Fi/wTU+mXB8V4pQp8n0V+ynt2vmQKLkN2o5Gub
hVeGp8tntMU/1lRf29jzSiYhds1XAyweeppTUWikaUq4IsjgX4d4NzrTq2WJPwTkJ1WwjTf+6gfl
UmSvWw5iquu3vNRq+q4ySAqhODrz3j1ApX2NcAjI3fbgCDbl/Dh0ASQWC0WqhOO2XJC/AEXwdGYq
nKtMRcnBOdzCQEx3BqDvaNuvPjdf5hjlIfcxNWeDvOrW4M0OaYrBASjIojg5BCZAeAESoYZYNkuv
ME9sAaZ5tdzAVvDJpGjbMy++L2yWlxxe0DPiTfCbGki9GcalmjW/Mr1/AlMNMwzSPHufi7uu0A7m
qR5xiLaotZU/VJsCZl+6GmKx9MvQmimBO9vesFB/43F2Zib5DII6OXdTAL/K9g5ZHRAVbk/40OOB
hhC8TcFWj2kGMyOqDNzH6GNWQE7AhxYenDyRntwq6j7sIEHs1gdEwl6PoUIn343vOi9OGYtuAzIf
vVgcCURjuKcI2Anw38kbzbuuUp35UF12DxUqvPHcnfUU08ZkY+XFwwOEPh7OAlPBhH9F9fgwwQYS
dPR5hHKZpuyUmZHVZuqex05XUFlIYM8qA9C8nVoIGbuxyn0F12IRVphyf7SGuRLnmOeOKg9Vjrlo
GCuSskeY32Xz797Ih4IfYtd/1hv954hgx+9vv3dHf7zsl+4oBkOCB3ulSHuIMqAYv0RDRBncBz6S
Hn4DOBCC6P/MOUUOUPy3jkakRiSIk0DHhb4KJuvwX+mOoKj5u+4IjRYSkAN4VEK/2B2XvwIcuSWi
MDk1CHHQ8yUfi/hGMnuVsxFxm0a+pjCwi14PJ/bT1A7aGwZ3gzgCJ7augoJvfCjoDGh9cA+axBeO
PuMgRoV6sTlI74fAO3bjgujQGZGAw0LP0Hf6cM5h/oECh9CqWAQ7TNk8midH5i8FBUjqAcQoM4js
MPuEKr4s1tsuYFAsgojcnm9ixqF2e+KJRvQJKZCB0u1pKC4Aa0CDoUApRlbKvKemwJs23OR/JKk8
zT+jVfI9ZWXe81YW6aEI7RksfE9jGfdcljAFSCIR1TL8zGwhQZVopLgkiHPJ91yXZU94WcbNlggb
hGpvz38Bw3Ub7IkwGtEwEhExDlEx1Hd1iOgYPyZX654lo/dUmQ5qoxIBgNVqlGkY7jDwGeRl4M3I
R7vy9CtCLJb2IPYgQMiOoQilKjgV0jzSIXrKfwYIzin19EOHjuME4XDFBE1PAgZx9pSia5Ig+fcY
gChD6xoF8HCXiLX9QGVcz5ioDVzRyBDYJnbvECqQxvOFIWRAIGwgR+gAR/iAB3qQI4zgZ75Sj7m+
m7+vLHzsEFrw7+KB4gGvMLb6Px6s9rj/3yvHH6/5pXIk8KDscS0BHse8P3bil8oBWAB2pzgDcIR/
/etchcfRYG6K8yyBzA+JATH2+59zVf6XCARPmsN5C4sNYhD/lcoR5vvc9KvDBH8AbiuITJDHDP9v
gYv4tXJoucJtHPb2btY4u+YcMSut3MX3tOpDBxY8YPy5W4LxLoSg+0mZVp48P0BK6NYiGBMWe1Lw
VqP7jW4jwLkNtLzQxmU9whjSpdKwDF9RsbxDJo3J33HVgNi19wUhczVNLKsK0/LnGN2E9M3/Y+9M
ltvGsrX7KhV3jgy0B8DgDn6SYCNSovpugpBs+aDv+6f/13E2ZTtdWZF3nDWoqKwMWyIJnmbv9a1N
lrTwN0Mcledc1vVqhBC9NSR+iZ5RuoEcOMC3hvEA1Jzts8zqdwkh3crpD9bs3cu6b7YTzO1GoGI+
Z1ww1ujkXzVd0HYdvcdiMeOH2h7Ly8ici223+JhSUmTkBm/BOTa8EGa08/d1WTpnOZqC5BFy07Fy
/U0mLToVBbUcKV34GUqbdsWJUh0h+pp7gK+9jDjkVx03MR+n19qJqgsiCkHqSj0w5XABcHfEHPbI
u3lJKZVSbYf2uxR9TiknenUG+20SVESo9D2RKX5qnIJWfyTJUMj4rrNb6KRMoyNdYOMQUu7TBWO6
JvIPS9IpmgpxIRokLiSquZ86SbLtNEduo3DkwussL3zQCVh4dVdq4ZWdze/eEu+tMKt4JdbncG6v
tbYYTtizVLB40ZFkeVcWVOpqCZcrp+Qj7appU8/jdZpb76bVPKH7+gRNiQ07ii7SbDoL4nIrt1IN
Uqm3INvmwSHwv876qd2M0uduQQvSzO29aMWpnHLsIK4FJWVEL5Vcbrj6H5OajIY2QWyD0yOaC7FM
CI/z8dma9cR6h7h15oPbtWngkphHG0R2vjEauckcKqaR63xoJE/j3gOu0OatUOH7UMXw9SGj0Ekw
31URfZOsPlt9ssoGltZQN3BcOF68m5008GrDIx67mLeNQ1ly8BqACZliyalsuvfxHMQ52psy8bek
ABPs+QtvMpr8gzYDGksnNZD+eO5a50m1ZHWbFQUmoxhQ2vNVVTfX74sobFehbe8NjrmrxiEsQ4kF
8CqkgWrrgM1z+DHDLmFBcygXOPdNF76aRdGt3dRak+e6slsnO4y2I+hv9nC6IJ5kX+yz27H9Tl7T
rSvEY9upse8G6Np12DknPR4R2CIvWRPmvWiyPr4wZjwAdmYcSE/zKXU+B9jnlgSFNsrtiFSFe3K8
6/ATp2s/b3btDEQHaLfx6uw9yhzkcRVfdb4mVeVOvLH5axW1F5M7VodUc71NFhvGGXObktxp0W0S
1/KisL0UuiG8GmrO54kvAnMGTs2KgeccAxP6pOlmJqbBIaVKgeu5CPWmGe71urMBxUp7N8vQ3+ha
3R6qujjKSHehYHvrohVyuagTDi12WetBWVfENv1mu6TzhabLZ8gdiNgkntasfulBi0HLImQ+mgVN
McHai6R6qbEUfGkLzD8RX+MbN0k+lmTpQPB9q2tW/+yfX/dPnV7cf94//18GsPmzyiR/6vcdlJFN
jm1aAirO9dQZ+5sd9Gvb0eE/bK+++a2WjR0UstXSHYsVhcIh+9o3O6gpPNdluLoPAGT/vbjwn0J1
NDZ5svkFESEgDRA/7KCycccksbzsrBn1i4yhGZY+ezdm55AZPMWJwOxH48l14AQGDImWPPkzAwI8
1QIfUWPmaMZWvdTWjdubW+noW3xkd2M8mIHnspsMcj7pXbgRGs212OgeY48rfWZkp8iBQhi0Zp+l
7Ru6I7nqDftzSPh9zSMuWYam4+QNn9MeUNZLOchyi4GQG5yVgWki0HuYDkyy0wbAnFWlZ0O0Z12s
O+RG26Kcr80ZTMuU2bGfIHhAzJ8tpWSD/P9c6uKCJGm1qZEfrOQAHpMjaHAi0pWF618vvvE0hFji
Eo9yRxRpI5Bvxz+KJF4vsjJXeS7DlRseLNltZxfleA17vzLH6XGJ5GXnFscqrI4Rr4nmEat2bpq3
Y5xuBsmUjxSsJjTM+3DOOs7xbKIcccgKtwNxRFwSKywu+9yaQda86onhKRrKOFYHuXaGOpZ3nZlU
r3o9PgLhjMdO+Uqtrt1lxkiqDZZvkqQainSXV4i97d7BGDGyqPYWwyOi0LuMpPlo1ZTW+ng8a8IW
QZr2y8Z0kKotPoES2fhKtdLfWlr02UGKuiNcw4kpTY+leOumN3JFW7sSb+1slbu+oSzZ0+BtqjEv
H30jKu4yPavSj1gun8eJOScWzUS3r0p6Ok3keW9Ulq5Cnu+D3hX6fupMzIBN6J/tPGwvZj/EQ8LN
ZHTFvmtgEHVAu3Vk+/OVlSxUguIyH3fEEp9GZNVunEeX1lR+EFUw93opwRQb4UXLP+vcbwwFy9J/
XufQIrwNH81b++fLglrPfl/qTNYzNT2aqgBH/K92pD8uC/ovvu9ASnydmQDN/+1lwdH5Q7pgBbS+
X+rcX1gxOXWzcCqdAuMR/gbMj1Phx8uCh5mJ2SKCuobJmJEfygyF9KhWD1551vVM7iuaE2BpHhWq
8di7w8xd2GxPU2+WO9hxOnlTf10kNnX4In9vGHKzabV2T6fSCXyrmddyFNYqsaN6TQdgoX8MSht1
nrZya7FstHHKr2vpP0UO8sGhsaw1/psj+bdT49h7r/Sp62vRrp6rp9CTyINq73JpZr4kUH97+NQL
mUNdp7ZzseBNx0XmXgrTfpAO9/cu9m7Am9JN0cTwG80b97GCmJF8HHJwsZE4OgFMBawNy6Uo3Kcp
JKcHrf/sZ+WTmIajnxoMacjuNSe/7DzOVESyHoompKJpEK0Nx6O72LdFkSBM0V5MDhuSQUegIi77
QXWq3PKZ69qVFeXJKnKm3TDRxuWheEPkhv98yjgEu10QiyVaUaDJYLPBUeewnhG3FX0AAItMJ8nP
zQjtXUhrX0ac/un9X40ZzWKJQnKHinibiBqkYeBGgoZxrZnLtRWKT2ZX3af9vCVXlK8sWVxPttjO
UX6IiekhaG6vRe8+RHUog8qen0XM0hyPTrWhVZiusyIut1Y8t5vCdOmrLTcNNObWiLKLycg+oiUn
5tWZDwIQjlgaiLgo/XMyuOZVFrr7yZN39ZUdHQQcCZHuo5iRUTM5aRu7AyttTQSrW5Kgw/RDJMt7
jgQtFWw9JsqWeMe+ClWfl59SV5SbpGN1M2tjm3kErEA9527ex8DnbDDJe9NYH65jftD2k3tZ21cq
nDYNtUQoMORBMmf2o+Wk5HCxtrMbMWaiAF1zxCFzDBKf0bbxJBACYeBgniZzbUox77yv63Dh9F0w
DtpNXI2fIV/HZu3oVLt0iI6ltsGVYTxsrTbXNdSHLxRJYDJOq/A4EzNrdm8qUKSEwCemeo9eeTO0
eaCryhqPLs+R/1Rag7WOFHJCf6kOYl9O3Ch7KndEsegXAKlA7iIec7Jbf0C3YYaIiCBaCl+cwqE1
wBiBXTKZ8L2AYw084CT0pEAx+ML1raZAGZ2823GGnWFi0idLwTQdVA0XCX2l1AoHEGfuVd1IYmKB
jUDTCI6znLkmE89WqA6m4+sQdifKdX1TKZxHwPVkhXjt4Hza8ia27WrVgAB50NWHSZRXU4gQfAAT
8s3yM3dbOBUAotzOq8BN23SjTVq6qRRnNDqKrqoduYkWbQcGkiyvpgKTmlOSHFpgpbhktlMd8hgM
efg2K6LJnOvLUDFOBbDTVNn7wog0bhLRoybTj7TnK2MyrQO+2Nm2PocwxU5hhkNNnWX3SAy++Aqw
khPPnaWYqxL1mI27gaFkFAEGWRcnzZycSwNaS4vz+moaCAUTjkgC11/CzaTwrj4My7VsQL6icbgc
mpRLpcLBMj++ixqeZsdG29tk5CTskE+cqDDCjXm5oTwgqL2iV8NMtpBv0W6tukHyxk8iBIRxTVN4
GgXAcDvMXbIpuRTtUXvT++UmTrKek0p9k9vWMYN300P9HmVXuTHM4SJUgIW1LBODbMqmSc7VZDTP
qe+0YwDOLZJ12yfHvh+oGHaDlZuQQmFB/ThuMYzL6LdZHv9AGWq8338+EwTZvzZlA1v5kzMBf/D3
MwHXH9oE0IsWZhbgC/bcP84EBqMzKSDyWKrJTAqg/J2t9H8hDmPTrjAJINNm/Y6tdFBZM2QAWo7t
5O+dCUA8/3Qm4O/RfaqYwGo0OtSZ4RtFTS3DydGMAbaSjM6o4KoBykrj6oXmr22uUX2AYOWifHbs
qlv7TlavOldzoaUAI1ptKC4WCVABx96sddguvvwuojCPaQCGaWwXGwYhV6F8B8XGurP7EsGcP6xr
BY0l0GPIDCiKTV7EtAH3wYcwk1FUUPaBGnShz5jZQXoQHq2Lp6dwBIQekuquKSPyXVrs7w1dfiqg
2SZLP9Jgvyr1CIhJAW96kxjb2TGwfUDDZdRAZoXHlXBy7BsvYWdedKJqkSX0d/ogs62sEVH0I3AV
1MG7YJLBvlMIXoOYYeuX04coxQcGq2RD373ftJB7/mQ9M12nuKh6xNUWdB9alJtI4X78mp/8Ij8j
DVx51uCutUiU5eOUzHCgurFLDS4VDjcI2qhbWdJuDFnjFif/EBmMtbptlFm1s7l/uM14O4pU7hlL
4K1yEPUgHZdlk8SaCHptOrvRaK1i7jQxd5tBXXK465ZwA0RICnUFolCyy4bxYInuFRUAWWh1Xeq5
Ny3qAuXp86OX0eW/nloaJ1U3LTSJPbvxT5FWfVn6yIEAG5IAQzTujEmFiZds2uUxJ7M6TnxKOHN0
Y6XmAw1TUDwEH3vTi1YLXP3Lgv25yle+39/3IpNXXVdUF4ueNwS7tXRfOWUwJvqtwY5EeRQTdsHR
ZJXq8aM6stD7772VpbFMWpLaIvqWaeOUeGs0rbyWSRiuRCt3pmAGpQYEOyYArP20JzFNaqzgLWbe
RJhMT5UTf3at/BRqzPUrDFWhbjokvlr/ZuctG5NtvWhm9qpVFjds6e5m3y6BgJO9qXPgcbECT/2y
1UyrAKH1tnORbiZyK0WWnkToIg9C44W06C5HiqlnpRfgaxEryp200VP8FoOWfDKE9uyYtPOj6TaL
utM8aPecg1+7jHNXQ8G07rUjYYkr3QofpiI5zmPOpxWajzIn9hU14T3SmmOX8A5VpmTAY0WIKPX8
q8K0X0J3fBA6et5MUi2eqJoxxFN/b23/dmySK6k0kaHCj93hPBr2rTXzWvIwvmla40ALdW0zFEtS
He/FeKw0513O3aOHS1UWDoiQcyattrdQ/FU6pGbazs9O73m7RGo5HnP63ixzVBNqjRK24hhCxCvr
IW6emza/II53mVrmIdKXx76AuRkwG6xrazxUjaN0Soo+0rJbEJ13/Dz089OsQevt7VSSP6Dp7gVh
Rw8CAQ8jofxlv9gcmZMqT9BjVOupBQ01YZDUissqZZRBag/XZa9zoKDhiVx+vpE6UKyh13udt4A1
6caaxWXS+58cYfBsueLBFPalZdfJ2upBSoYZeXKplrgmWqhd6HemX2wzN+LQWrX5qoUH83Fs7nNO
ekyA5eSed4IM2/TUL/LO0O13NwcbkKZ3Sec13EmpadukzW4NF6qrlpSaZ9N9N7GmBHQyqHyIirGW
yoAdY9pmJd2mYAuU9MO7pEatHzfGfREPOPENN/5URdqVwNAQ0DGkvBI/jdFwbvxonzvel2XieNVx
mYEH0uGz6orIR+to/gplQ/6UA77Jy8WUM0mTQWWYnaPjNfe+Yj0bRX3itnrF4o6c1B4s+svLczjQ
43CH9l10Wr1e+ubajrOrCJzUAiudwEsNxZlaRXORLWbA7LAs6DvnBqz0sveR1xDKLXn9deCBrepa
AwCoSFaHuWorDrL3FpBrHDLmBug1UfRrSjWQ32Z59hUYW8+PuTPeVGNyzfPAmwBCm4PSLg7Hp06R
ZYNOw0nxthP56QIA1xDtBa6lo61PDwWR9RBQVwDsVj5xNI//MSmWl+o7VK/ie31BAzpWzG+hwwWz
xm7GuNoXYMGN4oNdQGGZINCvFDvsKIoYlBieuEoOiyKMtRQvylfmWNHH0Ifmgdp7vPEVm1wqSjnV
GyJ9ilyWU7wFekz+qdT8VqlBQfCfT2UIwsgF/+RIxp/6/UhmGr8wkFo3sEMipvt6uPrjSGb+QsCE
OR14Le2vXMc3RzJqcfwroii/iRW+qUir+jEYCZ6Rvz/0SdW2f+jp4mGg4/x1MLZHffr7IxnzbQlC
ClK96VK582ERSPLfh8jqwjNiFyvPYV81c++FClvqo7vZZrBgCkDAZZ4uErpkHq2sToPe7+xN6+T6
Xh9TMLaJ3HY/lG/GvEgSVvHbUrfTJrcQMTatOGY0bbmGJddJjc1EYoet8pZ8u4dRxZsXvpU+kC3F
6BDpWMqUKY2sftR02SYS3bEvKlYVN34aDIGyutiJjBhtOW2YgrDDccttUc918gLlzQLkXorywLWU
OdxZiSyqQyrsoxcArlve/KS5EYIDRA/YB91uXpt6l1329lJu0SgVtNiyEoNZ/cUK5VufUPvONSLu
8welFGeDxS0YNDKcWU42z7SfqkKSg6DGs7dpCK2pdzG/o2K1t0rKXwuGhrUxTEdrIV9tNssHXa1t
jycApfbOoHvWVrgcrDZoEK0BO9IWp7C7bgbro2PHS0dgfh8L8GKdCkiwxUG/xvkT/sPtcCzH957C
xrKs2udwZFOZ3GdwZZyBbqpGP0bwZnhbsP84+c3AR9orJE2f4qbYdZrhbT1RXRhO/l60jGPBu3kC
eTzh4qKjCe4pLighNjfk4qvwlbSpNIPWKmVxoy3dXO1yAwRN6imTE5bELwl6p59M1NFThEM6RibN
aC6WH1+uR+WZjhFOU6jAPK0c1Pkw7bs5urKL0Auo583bGmH1qMG9sSu9CN2/75bpxhiMVwvFtY7q
OlbOa+Fgv3bRYMfmdDEqL3YWIdmGbcKRyBnGG/DzOWzBCTptREV7V/m1MQfez8q4DYREWkp651DZ
uCliE1hwNn3UwRemGLs75e5e3C9GUtpot7rHQdm98wrPd4YDLFXmbwcFeIMPaFJO8AY76Voro08y
rRd62fOy9UYiXBzEd6bWvjDlfF8qy3ihfOM40DgGYCDvlIvcwC80KTs5E8SuZ3TlTadzUcFfniAy
d8KIearKbd6GpEhQMmIM2mfKfi668qLgTr6K8Lv1ypAeifRLizK9Qp0+tPCvGat+OidXnqkfK2VZ
p8h2LJDRrdC+DBxH2faUkz3psLPXE6KhThnbTdTtReq9LG4Z5Jlz0FG7W8rxvmhcjrTII7htOg8u
IviJUJruj8+1MsRXqOKXqT6Gyh0fIpEXoLboS+80IQ4RknnNb28iXXxU9nKVI6FHtN6vF4GXvlKG
elyOt8MAqor+SvYx02Bw2afKas+3R7y2iO4jZbwPPTzaMRJ8cPCjUH3+ryv6PwUH8y9hpUvo6Y/m
4yc2IfXn/tjcdLKXFkkP1VKgdMC+98fmZuAG8iyXsgFUL52If9cbxC/4fQSWYrZDRUf+3mt12A6x
DBP/cKEylIPobzQgGATx484G2qg6GZ5lMWDCUlzUt8WGvMpsEvhUzXNrGbYV5QJC8O6LyzCp0u2f
zE48pMsN98wd9eDArL2bvpMPYbak6Lpca41Cgyni86U4ceH4ZI3pQ84NYmNYTbJDJceRlEshAxkY
YAKeL1HEVH25dYyG4QJw62tu3a9aMVTvRlfEK9iZMUjsONwuXPHGGDt+KJuLAtfrKrGip9wpWdD9
l0XrVlnl4YRgosucpLCW1lsjjGdKhioHOCnpiFLApuWmqlXpDYeLk5fDE+P5Xln14iODc8LAGJky
oFfJQ9pnr/rsLgc7l4ew1cqt8Ng3avOV+vEV5P16Fu6d3+ygUoLaLxmekowPfRS/eLFG+rB8ahtN
XpDp2vjYK/JiuDIoIcCNMYArvkK0uq7nBmY+jj6XVce0laIm5zZe+aQLSTuaB5sTeN0RtyvXpnkn
68vG3VZd+lKbUb3iV9y1LdkQEP5NZiOIZzoSocPE9B5CO1yVhBf2A3O71GjFXRJqJ5GX477saLeE
cR+MZXJbgQcxVmzZ2jCSa2qyUFnZ50aLxk1nttUqol/a0Bqhm9tfz6DbeqKLlU7SnHgJ+2oc2xdZ
wc/LMlLtkg3Wbd71ZY43+DRPETqCsk3grUJ/5fXuaewAxir/ik1gIxJHNZyT0yjpf9oc7JEQrzpb
ZQ90Z8C1D/opF0UljdglSNIQOXTbds2wAUQ8Llv7HKMJ7fLlmmz+G0n0g9TQRfUt4h1dY7azOd/Q
l23XLsEHUVsMYUjqNTfG28LIMd7wyVFCeHDKcVXnWRPo6LZPtWYcMq+8RGLxOuTTY9RiX6i9EcXt
jCJTiJKYYp+s58bIN2nSHagL01AAJOtjhqMtwH/rOMpvwta26GpN+9zoym0jub8vM5q5lFnRgPEI
lL0vfB7oDquz3UTbVOg7x8h0NKbc2geaJHNm3SVL8ZoZ8bEzxstyMYkQd8VF2HYnHa2CmfcUEPTq
4A3ee9LKgx/JnbDNbCW89h6NzF3Va+QWxUEvyou+sT9KdpCU0QyaXrwWbfYgUoor2cI0Nas5Wn15
2Q+p6utPN1k+7KYwPtlKZbWM+8ovD0ZjbxlQsa8lQW5bp942W8cqG49jq1+jBc62/YKQFHphREuy
au1li6L5TMUNFcviXjS+eQsbe0zjYW+n3NTnLGe892Cebb25lJV7LqrhUxsz7MKT5l1btk+SlFA4
JZd0LjeRnG8LPeNsypc+zRCGjPGTTN2dI0kdidg7zA7HWURmPB3dpVUwGhTp942dyIMtzJtcG0LO
WPU66pvD4OvPjK9TSQB6fr7Z346Rw1TMgaC3S/GqWPJnPK1ECagJAWiagHJMYyourUy8chTdjRo3
dn/EdDW8FE2/bx39y9JKkGWEQEsbPsck8lWKAzfbrRl3zAD0xsyE4XJY+ybLIu2SL0EjsqMv+5Pt
c37pemplsNRIoc/2kHECmAlqlfJyDO2cplShdGjeSmuyK033d3XpX5HcTfCaTtu81o0gdozHmEnj
TJ59slLtygiTu0V9hJbnvFcM1ihBH1DtHOmVPk36cLYM40pn5nSEwTdo5vHN1ABp4koyXgVLVt3x
WTSGsy16GaMNATizrMuZ9B2dXXXwSHYMkBs3rTAeoW8vanJYUZQwNUK7wcTDyCz73pV9EMfLe5K5
d4vTyVMBhH0g3nZbce7XCj0kIJ8F9uK8GpXYuWa4sq3R2TNEz2acxmTu08nmuyw/Ujow6G2UBMud
T4bhmlvDoLGkx9bOrane8lBUaxMgbyWkvm/z/rkd47u6WE5zL+/Dpt0jzpJKGPVYUGXmNd8zmuap
q6MBs+o1iS/EZuigEkGhJZ92jl2ex07SMlzajSeGvZYtu27BjdYSrsqMfSN93hqmhKMXWUVUrUjt
32FU9wId2nzjNWO6GgyqIJa4bDP2+yBrqVwG/VjHjw7iDhZ/pmqZBba+HPHQNqphDOuFCWLewLdz
OTEml/p5w0siJI5idt65svCvPapGq7wbimDRKPCZsDawQaiAhj5/p0QekPFNtuwwHGdhnzeVmVFl
BMr5qr/W4s2EmRpLkD9cJNlEaRgnWIHSACEQM2UomK6tpDFWgglwgZNlT0MpTVq3otkwdoAhu1iL
tVWeCG5puTyNOAjORW10z4nhgu5DEmjb3hudm3Zk0k5G/JMUZGZ7OIYYYBNU45KBPGun0WougIiv
TS/d2hMtPXN5ZEzUraybY19jkGao69rMmHRCGfg5xIO1duUYNAbRuyGddr0dpoHVde9D0q8Nztp2
aF0O48wmE2/yfth2ITdXq72vdKgsz43eWFkfdavZh2N01p3pI0ysY77wNvlRHPAglfRKrOdqcY6w
OpcElqy1wE2eZOkWy/PF0LNFN3PvbX6d1uls0KnecnaOqTYth0qKkzPFe6NZSJ5Vh9wfV06pp8xh
oE0gEgsYIr/rJjaMcp439Nfvi2wsuBanR4DRg65rl7B0a45CO3OqD6S2d1oaHaRbH2XVPQG0HLPC
wPfMTmt529SrPoXJwtxGeTOFnBRmp2LeZxQ03MicuvvII/+kFcW65aGbpv6InO2TsHRJ9qlACBHf
NmYSYEZb+3Yyr6xc7KNJv2vVaOiuQG/IEAmsQaBWzYipQ24wUik1W8vAGWOf9+bz4NkY1xhv4TDs
yWLwDkeLWt0qalb39Bl4fC0ZikQF3wx8+sHcuLODViWPvo/pz1uucTREzLUy7meiglZSPZWG0De0
Q2N6r/HnsCnRFSRjH3Cnuhod/SqUFhOaOhHESaXGLgOnxwc/1v0tWqbjkC4f1exckWhUifoMF7nJ
wyLL0eHq7HLNY/xUEM7CO5cGNz+bQh+TVQFi9JvMpvtER2WtSWvb4olj/lKEvKLV8300ixdnTOY7
n5VmA4N9miYPFwQQ+eQsN5UmXkwzCbdVXD/rKBZWuui3aTtk66LlVXshoRS19OCWIiRH2VfSjl47
VXpJjnebSm05a2ZzrAyJNUpQ7qmb/MtgTAiZ5rrY2PzTnDLPdajvZDwxKWDJD6PLkK+5609Lo3Zt
x36eDL5oCcqmTTMBlNezzTSL+CpFjGxDAB3caGlPTLQi9jpZTwCH8mKktO632Yse071XX3dhcS1E
1pltU0onL15Ecbayb4xxik8+uijPqA6y0u+ZhrhaSodi8NjvJFCFnqenWurUdG1mATn5l96DYGBU
QiAt7z7lnh13yTEdBOfMcSKP2j3PRn3LnEMm11buVWJI5mol1OztmQFtyWOd+S/2ZN1SAyyPjoVy
r5ei3Jqd/bLkyIxaQ1MyzGJXDPzFGmhKidBpU9Fl3CcZIx/bomJ3xASnW3fICE2uEU2jQTVns20i
ArGEFphGTOp4/U0x8/rXYMe382S4in1TGvRUqg2swySQb9A2Jnby/QXKjHUd12URn5OqWhXFZUv+
ybfv/vqHfJ8p+f2HCMNmkocFAqpucd+0hNNwalDAtfFZnw9acakjZdPs+268/+sfw030z6/FFQTp
VEKGgUHf/5iQrjS3AJ2Du/llLB8067/Ny/jz34/TyKBZrnPZdH58r1p/ptsq8uxcjDxolEspG/9R
WP7JZ/GT39/Fl8Q7xBvlIF74/vcn1oItxSGPS+std64d//TXf//3tN5vH8M3788Pn7UtUpAXllKA
0B2G0NTYNu7GhhD7YC7u3/5R8AeCCUW2Q+3b/+GjyDxwINw/6ZlUe0+Tnjac4u3WbMNa9Wtj4j+O
MVG/9r8TS19f1ncfi3rEv3m6dCNmUgXTUOF1137LiW7NV4s1dR62f/9Fffv5//CiCpd6Z+/9+oOs
eIOVgLHD7CNqK67+y7P2k++l6xuGTqqLIeOmSWT12xdlMQC6ZOMtzi0jBWBJp8AJP/31y/nZ4/bN
j/jxcVtah7OSoxfnwntLwhdb+z88zjCmtmv7cBlYP75/CUmNfM3WzOJML5+wGUaa/8PiRSlUF3D9
fG2YHvb9Tyi0gvO9MBAiuW+je0XDgAjVf1m7fvKl4UuJXpN4rkoVUOP69oPwKbYWzI2BquTgN6+9
emU4NwMBp2qzWP/lSf7JzwLBwbZiuMyGpP70/c+CIqfIljjFOVJ3aig2bIEBbueSM9bt1w//n5Kn
Us39sehu3rq3f30wSrKbr0h1/+//nN7a9qP4czdP/anfC54AVmyKPFUIXGBavtOn40lX/zelEfEb
Wf0bYGWDXhEEFyq9ydbwtRb6e83Tx2tHsBsAi3/pefhy/kbNE1E7T8G/1zuVJjX4xfhvk22InuIP
gNXQ+0qWJMbzPFqtG0RDmAD3uf68kXOMbM4Mj92SSiuYk2FIH/E1EIY2dC/uDtUSKyJQLOmpnf2R
4/hkdgvkT1WUsCuFJZxPkxgxWCJ/DVXDokE0I6dmPwlD+l98nRrRHcIoxJJd7NrhJgSuJAxZlSM9
HFRU2hLUQprIM5t0BF5ZSsOmu9+jWA5yE8dkYLsGvobQs6pN16fGDtMpvAflDNt5yAyIpi0UA9Cx
QSCkEHa3r7Rh3mP76pMvo+VNW5l4VDGlTPIuoGit76N0UjMcvOw9pn2FQms0IDureQi0jAMkDTMm
xUZphG9bgwh1Gud9cFpIoiW3dp0+cxxxamnvnDn6IkYN50rhfSEcaXO1JljiVvy7SmOAlTb0zW5y
y/EYSSgvT433lDGEZtaBD2eNVrwjHUT2bHRMSMiR4OCT07iGOMxgR7ii70Fo6WSEY/FmeNmyEksp
LyqGAV3bM3h3Nhn+zquKj9RdnJ2VYbGposHe4QjnygeJuUolOKnt9Nl1quNoRedyyCvkyXldj4Gn
QTtJz/qIqADvnYYYYq9kMrm06wCnLoIWob1XDK3fiyXjGuqX2JZR/rhjiFYI7R1Xw2Qgl9nAb2Tk
93Zlmbd4t/RkYzIViUHpFD4lndaLdBzWMRaPDWFORHnuON9wT3J2o18ys0TBXUx64cbb2N5q7MMh
KBb0h7lnPWdFSjS+xtrTKJ4YY7FcISGgjlENNfoOK2GyvahvJGjdapJjd+Pi/KQkadTGepnnFMLX
zLYL456CFiSX6t1UBZPh4n7LgUDCqUj3RkZ9mc5zvv9n2fw1lveXy+bmI/vXVdn81Bn2zcrJdAkH
yEBnGM2vYoxvWkU2+i82NtpBv2Xsfucg1CBPXYeRoFtkf+0w/dEtYlG1PL4xqCyE5XxNxP+NlfP7
I5VaejmEqLO1hxDD5gT//e7ahUizs6UwrwsUMXoan1xJ8WiYg282lJ+c4s2vOMW/F2heCcFDMjY+
XTNmNGLu/f4HMb0txZiUjteOQ6+3Y1iQHThLj/4WdXVpMlBAG108MF159uf+VKfVg2s2zDbCzrge
mYEWpI2RHofG8TdIKRhkOKPrRlqs8oHN89hWROW9iPVWqb6iNrv7/+ydR3PbWBpFfxG6kMOWAMEg
kqJy2KAUkXN4AH79HGja3bY7Ve97MVMzZcukGN77wr3nVjygq1bZmeqe5anFLsquVcZ6ZP4w68gX
jJR9UWPEd4CcuQVaLc8xzC1I8sIPzMHnvum8Hoee16Yjy2r9QbItBjy9Q9C29sisrXTxo9xwOV5L
+UiOBoOLWGZ4IEDnkP25Iw3oJII8XOeOcsdCOFvJjPk8dVk390N3RaiQTzTpg2M3H2poPYf59NQs
rpAUWrBHSN8Z6dwFEyzES5axNZ0AWzHyRVdrmrvSDLfxIhrMouiC3eIrK7XUH3K5wtqPoy8rx8qT
+oVXhS7fV7r5WcnzAdd0cqnbjQ+8nbgw3Ma1mT73lnLXtOERs3m/KpXp2qr7jeGoW4wg0qpjY8YT
1ZhSEtboRqpxI01V5uZdbbuW8+x0GDK00etrFlttr8NcBniEUtvi/WPIbPWf9oQ1RjaNI/cFy/QC
JluNJEWxppMqIPJPaGBEpMR+qmRn0p0SX9PEZs71I3MhwhoUfeMMvLaR4M6STNDoVe08F2DPoNdd
l8U8edrc3jO1JqucpJ+V1mU3reh3ipEOXqPJb3LGwjAU030WxwY5fPOlCg0AtlcyEErUvCuZ+q4y
43fTUdmWmbPjEFfQnYgN8LqrnNhGbjnzYGlz4ZpZ8TYn1WNktZGLbPsWxUfi6bWVbkXPOButqKoF
PmwqMof4iNEV6SS0KGNUvxSsBHBZ2xJLBcMcweHLIzsVMkEaUq50wbxItoSv2GIBUTXjPssMWJOT
gvAbG4SuvQvZ2bEr8IcZVwzJsNVwnxragssSCmnaxpIa0I9KzIJL3WkMhhTIc93i+bHrF3RL10oq
fcDhAJ+OFqHk0wggDWl32HawRcFki1TZSbkB6o0gA7tBBsSkgn83hU3VDvFCnBFPZkL4xBhWxzCW
A5q9keZ/CfliRJVgP+3arRDdIxmWODacxB0SmSy08piafGW1Ij2jnrjIJGk3ZxHobdTo63mcYBAy
NjQFyZSJIFN87JVrsmU2I4kgKYomd+zBhZnVI9nXAIB3kd4QvyZtWeW+jIn8PBsku3BxtvQKz5l+
M4gWcFu/r0pqEUaCCWtfFRoB60OdzSxZm0LTt4Oq+Y0SocyZq2GjWUnnywrowHDQnwsdXAUCTy+Q
mgZ7a7XpleJyKsVTUyYg5Cb9nuxg+0gxpNe3ZJO6IYLuYFtCTsj+6Rj9kdG8nKJcFzqSn0UlICuL
l/v7xosaU9OZfk5nMbnWSt8E+/GmPO4SFk8vxUO1TndgulbBBaqb3ks22u7vj/Efq+xfH94hqwKQ
iGogb/jx4ZugNwbJ7OfzYL1Uwc6RAaiPz1KZ/0PP92ePg0oAoCaNrC7/PFRyOu6smLC1sxIfCDom
7vzDCXdAhP7hcX68/f7/+/B6cgcy6rOAAv/4+9QYzoxeieSzaVw0JrMSLEj6w9+/ZvqfvWff/zI/
PUgfyXKr4no+D357z4J/PWzld9tDwF0ecz5jq+tmjW3bV7d3JyAQq9NwjP37dh2sr5K9WG0brzl0
Hn/RK33+s77/++en/jQq+vpMYZBhAmkwZSNr/McXISMwFvmarJypk0/BlbyWj8pDuCdjlZWpN632
T8pmdE+1L7YGuQkXCPquQBf6ONXdr6fyX/+9sNb/uv8+vjRxVf6Znnb5ue86cA18PBQ1k+kRR8B3
daT8i+YYLIGpBlGS8Sn/5nD6gquxSv0OOf+tAbfozcEmEatC3Yfu6N+5nhWVT8nv9R0NODNHMG6M
gzRH52n8dDQkjZSq1qxGl7k86wHsoM54HhU5sndGUxThuZQEDuO+Np/NiMTfrSMViBXFKHGOzlZ7
70R6eeM4sTG7idYLfLOF1T20GjpY0j8ya21GCZ7XWLofVcI/CEZic6WqKQtjE78kWnS08f1g3obZ
9CLC+QX3AmDI8dpsbRJhkWeoWR5fqpOF2jA11+MQeL3UkI2csG9uWa6GzdASEzO9pHWDcUog3ewB
f69aBcIkXJUMxbrtQ14ZV1IBxtHoiYsMuRMGEWyr3LzWB+M6pwDxUrKpp2A8zTa4HWdQXuqivqk0
9TmyudLKgG0cjmcsDOo8b+zYgVA5lGhcdOM6Ma0DUuBHNU/RlBTZgdyXiz5K+8Wbgh22tZSV3oSc
F6Ky3WpOr4e6Atc0V0eNXHgQ+lxXJHiAyiEhA/j+IFYNiDq308bIHQkFOhQ0o7NVPRJwM7itQrnY
y83H3DYTObCQYe2232ZUbcSGbJWUhYzFVmeSHFfXO1ZhqopqFwxthASGJ6Vg/xxssNQF/0uHtA35
pbwvovTdctIrWwd/U2VvhLLfmuWChesS/RAYwS6uFkMwYW2DYUVIcwFbhL15CBcBWpnp13iZb1mb
AR83rHezLC7mSbuuJhv9iGxD1C8gd1bDgpUPx4siVhini2FFobvJYkJg1EWehbJqsUPfJ2abeSZ6
E18Z47VZsRIz8IVKArxUJNs+ddtw6nHHQ+tv7W7V6LsuNYGfL9CPJu2v5mEwV4YWkVjXUzRJsuYl
U38HMOI1GBA7YODucanKPhLbBwiEj1YQEkulvCD2ZpWwPA15uJYm26+D+TIjB6eNVfKByJGZypM+
9IfMSc8IjJ5jEPp+kc6sIUY2sehKup1cTRcYR0aGrMmhBBBg50iVINk+kNNNcW6I2FVAN7tSQ/ks
0pNR5Zea01zojnkeWqaz3SIFDi3dl7T6GeCqFxkqyWsZ4ODS2leDeTktmrXC7C8kJ/DDoS49+Bi3
dmK9mtJ4bMz+Qw3y27azdtAVD8lAgShHFgwU4uWRJfA+MFd4hwvCV2xmqGKPWc8qz7zkl0fiJqLH
GnYTpW5+qQbKuTZ0v3bSV6IHXRgFQJmiFFixlp+7vrQPhRZdWHlXPEQmlXw2sQxE85RdSFlPivOi
LAuQX7pWnr8wpUnRpGdXCqKdTCrZPKDUXlHebR17PmRFd+wVrPi9/kSM7EunEcxq8KBCvUpQGWSB
A1y2u2wzeaNTCWoErPpxgAzeMAlH0lFLTCkLXBV+tQ64bDKiPbHb2kWsNKQojCkUkZFFLwdEAcRY
1eghnbrbKon90OcFFvCSuNfFu9eCipS7DQ44dHFFiYhx1NUzkcLAlmLlFPHFcnnPjcsCKQKI14Y3
p7PGh7kG79YoSnaR6Imx6XgJ1iKTsq3Cun5VVfibViGJgfJqMLto20ka8zw14qGnSlZ8KYGE/981
/f95D6XPX1/TPnTd4s98yPzUb5c04EHG3TYDGg4qeZHe/qYLhk3C5cye1JT5Gwb39++3NP8fLbHy
Nc/5Gq5/u6UN6KhIeS3DUpmgsDn8N2Ny64+mFweBsUPMjMVmm+3TT/1DmoPPHrvAOiH634ddPRTH
TqgTcVH5UFUEeMc9N5JApomOMRzvkTqgvCmdAv5yl0RPo9bekEA+eVGLyIhsxE0tQo/GjFaVCC+v
ZEq5Kh1CM0E80OUZ8XqSWmKHCQdGGt3ROEtPDEGvAcI/iL5U0qsOIvsNsG7ggyNIJG77DPtaKMfS
KQ0KG3HnwKA2l8KnqeqicxBEsXmOssk6G4VN961jDNFWJiST0jOCXC5uTUtiP4g5T6zbUQm6y1pq
o/i+x306kGoiHlIVbTFDnXIbR0ky4TttjuSl70VvXBuhPkE0Lu7lObslnY/7Oqre1AWNYkb9K+Hc
sdt0zJsV7TVacqNRJJzMXoV2Mt4jHjZcDRe0NEielON7CxciiM631LNRyCBpsPS1okcPAChsBgcp
jAbjJrXFZZJUeGqk+F11rNu81z9kPeGayHlRDJtxr7bA5CBybAX//koNq/SZADUmRSLeyjNNe73M
XvLMvq0zRfXLIkWWoXUSSW/qNoIoVQwD43cR77SI+snIIwvstjWvWjkt1ihribeXp71WqVeB2ufu
rLFvK3R1W6ZMHlB4CdchMHM3DUSkSb38LpeOZ/ctu2uuc2gb7SYvnJcwKi9Mx7pouX+IaYPtDRvx
xgpAXDvEdI+B9G44s5/J4w5s1SlsoKBD9/eqZja3eUGF0AbVZ1fSqpsx8rteyt9E5EAFnIpHPtId
vozB2rICSakQjStdQTbV2eWpMxIJs3RwzhzmaiE5JWGkkM2ICorqkTXH2BguvH7kxDhNI6N87BPu
iTLs9h3vYNf2PhDaeDMaQHZMuS7XlFK7fJgux9p4UNru5HTxbdKVqRvL7X0eRtcReeZwPPqNEprS
Dqeithqi5nqyglvw5Fdz3fMVUeLKA5Abrpw4RgDUBOc+mLdTFkg7bZTemloiEU6vUoCKODNnhfhN
0QMiDo12Y1uy7hHfPu9L1LXJVE5+aRuL3L7Q3HzIFqCoOACseQfmu49Zw+Mwi49mAmsylq0L8LcK
ZRyR3BOeM4UvgKcryUsjV8KfnO7SafTHQYoQLfPJWiVTbiKu1T5hNs6rtCqv+xlgYW/htQLPa1kj
Ou+ipKxKhztVzMVW0vl0BouPuc3ij2xSZ9RD1qMhjBsahHE3lCljyEbdwUbQPM22D9EgqQQyMDWU
c133RZ1cxqEJtC29zrPhFEZ8tkVEjSuSFHikc0amVPtmholeVIJRJRLKVV2Yt0KheJUb+TNQ9WdZ
y97A1O5qoaFnCjtM9JL6obfSfZug587z/D4XnbpWHbjLU6dsYjN/Kif9AtXbhNgLLxLgZQvt+pWW
2JWF6Y3QwCmqXzUBLVk1EA0uoUy9UR8ph7r1nIIUGObXRlOfasQKW0em4q4c6zz3AxqrLqJUb4gn
QPFH8mM0vZHr0u5kq7uJig7VciVn24mcRFaUSJwInniuTP2myztQyYSK+0ofCK/pmSkiQSqI+ZFP
Q08YDGO+j2GeHI8C9pgk6uANQWlt07RwQNwh/nT6GkeZTDFHCsEbs9bcVZCyb2XUl6d4NJBwtvXI
DFyNPE2tr0WBa3eyQSgpRNunMfxNzY5JMtImLzaSyZuSqDrmlthNefCcFyNORpTPazyfyOE0Pq1V
k7yZVkE1vkgZjYLyUdemrVk09a6sdD+Ft+RRKma+jWJgxXk4b8jwfW5sdMmNBEE+2JT41K8iKTYp
JWOH9BwhE9iXOz4Z17jpSCW7Mgu18q0a+maoHRIrBhKVJ/YGOARpW+B73WCYpn3U9+8pIVM+NZ22
VyttEelB42EZWmyjopjvZpHz3ohJ8o2l4KeT41xV6TOMbthpOX5CRbGxrxnDRZg5+8CZL6R4zhfd
XOMH+GZIoveILLmxJQrhuUWBH/XAp/phOld9dFuoTKKp3zOfIKt41UdSQ0PbvZl1Tn0IOH0z2mw0
JiXsXMKVKOqz6NzFLGCCWfbSMh42VTVfYEM9EM/lYaU7Dw3mLi1ZEoABc6xiqzkBrn2z4YVlbYAm
03JgM5gSalZYpaVmT/S7IXPImfZKlgXb7vSlTKUz0bY3aBVLV2bshphOMWl1qo8Ml1+Yy8Tmajoe
1ZjddE/+hScy+amKQQ4MfXwKHDw+zBMGT9QYfcogvShsPK/JmIT3dZQRqRU8mRAEVipfXSvLPwkM
eTI0CdZhd6q+xuNd/hYYqrNWHGbVTp7dU+uz/IkZfqskIc9yJXtSFh9RheN/KdOLrKES0blTDWng
AFOUj9FuEfUHBzuY8o0cT3vMmQ4xvkRuG8VDPjWncUlQNqecmNEE107QIGtXLowsf5cq+5OBQ78y
wYYUtbQN2uSDbZDf0tBuWqtat4R5rkQp3eOTOczhRZ5g0O8t0E7pi9Mnr1HL4TuwvE4ai7BFIFVG
Z4duaxIX2WImsFLenpwNf8ImfJz5PMeBCgtC1T80cJUr9mI3cRLylznAB8i6cZPRz0MSdIHWxRsq
t2cqsB2Jr3SK0AG0zqRdKXO3h9Vs1jaEXvGgaPzj1ViuRIAgE1TLRsu7Nz0kZ80iDbUCsyRbOaip
4l7RuPCcItyghM2JfNROrBruGiEwX7aQDpcQ9yp2DvDlWauBQGMkAmA3MdgqI4gjNwIYw6IxVkS+
wlIPmQkeJQ0SX51iZuMDoe4mH2p+NbvApkzdSQJvvJYKbakemp2lRXsxJZ+RYsR+KOzLSUk25bxp
HQLxUDhMhaeMB1tKb6MMZYCk67nLXnSTJAMheFgEYNW/arbwTRG+2iaOFhXpnBTIEW9W/UJOG3ke
qkgMLuKhueDrgydghADa2fdKZUHmKld226xt+MLZViVhZ+hSbxFaXBUmIxJXLmITNpZuKNJDNJSl
TMx50TZ7lkAiB/YiBnvA8zVI09XEu1PIRix5esA6IZwtEXu2k+5LwWJqTCW+bVKzmTGEkJEs+ZKV
YBZPJeHHeunpedp7wVA+kmExrwubvf4whQrSlOROa4oboZt4oDUyTpLmQY8JBcgpvKQAS5Rj0KRa
+guhAOdxMU1Fi30qWoxU1F2tm6aYq4zFZiVBA+E6ocVMZS42VAAm79/y3lGb9w6yFSc61A2s0AwP
19hZpwFPl4O3C+GisypweyloZlpHP5BpQHVTVq/cLeQq4RBLcYq1i2Ws6+WPeTGRzYudbBrsLSOM
MzhCEg4i3MC0EgxJMKGZQfHeiHyrLfY04oVmv8axptfZtZqiflisbDj4xJZz9+DgcrOwALnYedtt
P/CNXqxw7ZcpbrHHtfjkmsUwR7rRplosdI6SPqc1XpfoMq1SToCJgaLGwBHgqGMPJ0jdNdrk7jI3
kncSopihk4oqMO+VoXwyIIsyzTvp6qUJn0aaa69ZDH8Dzr8Ud2OHE7Czuju8U+yNUNfY6FxwDLIm
c6l7TxNOwrhCGL5YCzU8hvNiNkxwHfIE76KFZ2FRC66jxZrIqfCsL2bFfMajVOJfHBcjY/tlaczn
o1hMjjVux2qQWWQRdY0cJl3skAMptTn+yAyfZLz4JRfj5H8N/VdDbzCl/uuG/rbPXpqPP+relp/6
raFngm6jOGVohEyCBcnvDf2CXKbHt/n2oYxDkfp7Q2/+AuTLsujz5V/FbT94fQHVWDbkMU1Z6KX/
Qr0B2/GnsTsPvCBLeQ6KrtiOvGy4vtP5hkEt10Ve9qcZ5ONqjPtnbGA4MtIOYdOQeVOTPYBOid2p
DI5xgxHSUETrNsVwzttyR+UgrVoDqw7RJIBHY0DCpKZbs+DEiG9kOX1n6Z5i6x+sBT2aY0ZVsTLC
YmYCF7p5i3NolB/EbD6rrf7o1IikbIZv6HNJGnLQN2DLkIDkRxExQ0BLQzq7GAOJYRfP1VTeDREU
mLJrKzcwzfum7nbFWDx0jvQQFNNFZFqXmhYfhzQ6dGX83JY2JSR1dqMZb5kT2uucX4xdb2xuVBWX
pFI+5ZM8rfUEj03ZsQyuM7G1HXE3qVWzDjvh6/qMITCBYq4LODapZL/jIDM8OzMPbZfd4nlKXTs0
1kZqX1OOvtetc44NGg+1RkEgL5DIQIiTXQ2P9M5vsJKeglq9bMviTSdKgaS6Jlz3MIW3LddwWDmM
GdoVPsbnTO2GdZXZlQdmLFuJqnwTinNMJSyK1C4C1BQDxEmn8o1raAoMhg5dC9ZdDw6M7r05pghl
9ezLjdiHjrMNVeN6mofPWE8+rLy51eJwE2jzYx5SssoWT5I3yZEbYyUEnZAqJ7jNxtq8Mof2SFv9
mSHfZrMtb0roh27fsNHOZfVBD41rvcMxC5X6Vg/Vz141h90ULz9u9L2va/1jTuBZy3CE+tz0+64n
k6rvko1pZk+lnqS+WvUnNTLoyFJ4G9jLjJWsS8j7Ul+2gHEiSdpAugCfllYMyCveNSLmEE7g3/4a
vCzwL4iq7SZoiYMn8X4/g/aAegcEwhDztZUhrSsMvyd+3KX1hyadxg1q55EiZG7hefZ84pDhSa49
8yGeWt7DXK1CfInzDSIMHrWwSUkf/EDub2Zb2zNy0FaWmhWrFqarB92L8USfvnXl+GgXcbeyzOpV
VrgQijKAZQvVU8jx1qwBZ5dStJULKfEkC52ELJcbCBobRY57t5UlZ9tFAo/WYH/A2z3YYzlQguGB
apyOsFfsZCqt45og8LuyNvaUjYAniQlZmVr32vZORbdLvc6iZz7no6le6Ex4PHjjLMazr3lWymSL
OU0zrJuveRcvA7MvtVssd2YMjcT8mo6RrsWkTO8qpmYOq6EImFhunaWvudpUx9FZq8fwiVi4NUNx
LFd6pAenCv0Hls6ewfm4ko1wG1lOeBPVsuSGjjFekZq8D8I61tbggOG6MYuYvdE223rXW3JAAmI8
dhh6adVzD5a3CxzvCuPIWG9Iq1AfU4FH5ZgVFfEmSRYpHjftmxz2WLVTcwJLRbELimwdACoG8Bqr
Vngrd1bWPqkY20hV19g9Eo6em8FzasSRfpRVhoYwREdWBv9dl/+ffzMO/uvrcpN9FH+iEl8W0d9u
S5hPNnuRJQZVh7P9g0pcJWsAMTjEJcNgi43x4tv42/mF+Q+S7W8cTv7o2/jbQeuo8m/xX4sZy/x3
CWDmj+4OltR4FjAT8G/atq4v/9wPt2UxtZY69rZzqebNRL2ozNWm+eL4aFIRqWsjytvg2WGBdKV9
UX/yBQA0QwIyE+fQFE5Kd5W+psDopmV1qXahP+k69LFKw4cL82jm+tLqdT84V0x1P4nii12WgnSP
6kYiJy9sY0Z7fOjJz7PJ0RsraSvF2avRENxoJeUhTMRVukTvmV3jMR7dWjKoeabDJEwKl/hGCWba
tKFYOakMDGKVaxbvO+Z9edpOCiaMQlJeE9TkI1nRu8a2HityAedGvNE+HKEwZcaSQGk+ORCPuyVO
EDDkRzPZ2CITOluHyEHYM/XlDEAPSRUO3kHZ1uQTDktQoVgiC1NNatbVEmOIV4fftkBM35bzAwP2
o70EH4qECMRmCUNUmaBHOlGjWh/6zRKYSAaNtU7IUOSsuoBjOni1TrwicWZPOXmLfZIwJCsvxyWI
UcoDw89bkhwIo92JJa7Ricn+U1CneTLbbcIUiXVEEK6xzc9zlxRe5GfTVW4giQYlvoKV8z7lg72S
EePRlgUAOFmRa+H0AseL5biifHaqtFeGfie66ZAssZPBEkA5fEVRil4cyiWecqKOoZ3sDjPJlblU
iEfezwtUDnNuHnXCJMBvkHiY7MnfvhFLBCb28aT1EHHV0QHLT0/XF6dhuKqyrIwAF3epU59G9tu7
rLV1GqQh2sS2jaQPRJhzVEEL7a20BNNCq7DjdanktY7Rc4MnxrkJiDgjgmZSRjCZJdPzAbjDpmoM
PePiG8MNeTUEHllFox6sLOsf7NK0tyTay4//HYdfx+GiYfnr4xAsGiGx790f+4fl5347EbVfloXf
wq0zl/aBE+e3haD+C2ehQvaKrC0YOnaFv56ISLx1dnRg8DS0b7i5qOp/PREJk5ZlRUUB9Nsa8V/0
D0t38L1oR7dVvHQ0OFheVajJP60Du56gT6s0xLmX9yFQk+m6bDffvSh/ovz+v4T89wfhtwC+zKIC
8JGhLvEvPxm4FNiTSZK21VkTCK0phI0WaWWkqYV2juSm5vtPHZBezWVs2ifgGdYjJ4SKeEQ2JjeS
81Hdq2bltmO5q6PxwHYel3O8nmOF+fmsudOUnQND8rJS2k2tQ4JpedPJqEynSFnPtXU9xu2WJMIc
SNjoU8UpnqHXe6kiksROX7MpfZHIGO6rakfW6iP8XaZfcQTQp13baobtusXgNjafTW9tqiwWXsaJ
BW1PJxkNkeeiwNjWAyOZ3kruLHtba63Lr/cYmvJOdtC/akq1JwDmI2udCFirDrg3/wgqiOd2XpFu
Jo9IabAPwWQ7BJ0lPLtYgJ1C5XC25NexLfaaLuXsgorbQQmpDtW7ZuTbDZnkIUXogydOvLWmvp/0
pvDrpDoW0Sg8p7Y0z4gDww3K5qaJSRu29LJbh5N2zEOksF2rXWUCLt089I9SovmzsHBVqpidbLX7
TCyic+xYRRhTl+ei1C8s0ejriugBiD51sjVl4nQYtYeY/PtiHVcq6qqByCq9mh8UIDcab+eq7KVr
Q0ggcFXaq9yBIW+nT1A3AIOIaucoXXLKOqG4YIr3NKE4FpWaWDI7PITdm5aUvtMzSs2F6upjzUAz
Kx6CmfzuoLbZz4QQFey+8brB2syW8VbFwGnFBIPC0t/sNkeClMSfFLmMxHWYRnXnEINnfuqxcOU6
/ohrdmpKm2wjtYkYR9puGebnQW1flSSR3UZni4onYJfFKQu0ofNjewFYa0h99bYTax2ai2sU/Rnw
6t0QYkGSsm4XaVGzrHpvwrGrvRKOilsE4HV1MmkHbsB5OZ0dO7lRgdCBrGWC6AwPqcyAK57MzyRx
ng0lXZj4iJM1hCZEcEbpsQB15IZJXLmcK3f4gW4K3aj2xGVehplleVEZCT6s0I+AXkDkrgkzELwe
ljU/pWaAUJ37e0iKD10Rpj808l0aZoz1wOyP0pISGnase6TPTrKfyMqGuZpGrqUpLPHHrwrcgpSp
rjsNz1H1JXEWelMjgOPVcPBK1LdGKGa4KCmfcidL71J8gTtjHpOzqYnbula5g6qPHAB5nFYZSRXV
u9LVbHHZ6YCwZfmUCjiXTZw8IDgjqDiATWXeF8563EwRwKm8ZLwrSddNnzhLpZHVdJ7I5LyBiAzJ
gs7ROBXu48wwVmxA3FCrkI9rRx1GJ7UYcUPEUYP6kJdAhlNbWo+RbXzE8livONbQXCG+yrOKrPnp
gnL2RQK8IbqYtIv+Kex1/GOzdt0UypqMiOtS0XZCka6JjfZMKbxXU/OptQ2EEPKFI8IzmuPzlEfH
ue18tGNu4EzvzDYzRriJl7ZduiYN2U3JbrDapgP4aPhNNZyshedTMyIggcBDVMA4xmGqndgSq03p
cuqa+zx20nWgth9tF/lqPT5I7YfR80kcTMvXdGLY3QDKITzwQFDEJv3EHEYeJuveCodxU9eN6iYh
UR2GXXXVKdW0x7zUiYGY67U1FKEMGIRzC+KVXtE2GzO2wKlsXDujLrO1/D6tW7/pxKMQ2T1JuU+A
xrUruTfmMxde7TdZ/VKryi5qtPcxsC/reTo5jGyWIG4w9azIPGYctislWeznECFu9dyejmEe3cRh
+MpyXnIFDLeLhrkqxWaHsr1gLat30VOh8i6K6DaOy8RzNGnfD+0js5+ZrZyW+8HiVqh4fgR8c/e4
TsoZ0EuZ6bV9Bamjs6VbaC4sN/F7rsOmZOrc6O1D4LQ9nbGVb/k2216ddZ5uDsN2UDqxoSMHkZKX
EzMHOaLaA8Qadiy42VgZW5E5ypZa9kyWzHWr47MzlU0yLAWqFLzFGPggbCu3lNqPjTLehEZj7hy9
fywdgao1nIPT31+7fxR1M5jU7eXGxZhL9NGPnY6JSgyPVt2fS5vuX7lM7FuTZ23QLST/pHD/sYpY
Lng6PSgWysIaZCS1dF3fzSDbtiRWS7TibAf05/f15EfSP4jU/+khlj//7iHg7GaZ6DNxrvhiTuQi
RMOzXt38/Wv2pw/COFWG3UiNtVRd3z9IG6XpmBRCnLXmti4Po3SSht3fP8Qf35bFBfj7QyzGh+9+
j0XcGOL9FWfdvslrf8atSxVSWC/J9A+PxPT5u9Lu1zflu0dansl3j5Qx0czNjl+GSMiVUqDsUPd9
zp5hPeTM0X6NLPtL3sQfHRvL9FlF/c2sHHTz8nS+e7guTMa5AXNHB/SoIBO2EGJHF1P+X6/xf962
wmLhr3sN/MofTfyS/Umvwc996zUUGorFFsR64WvCwvfwW6+hmL8oOFAtDoOvjDN+6tv0hQZFg1ZK
8c8PYuHnpPg2fVF/MUlAsXGg0iUsme7/ZleBmPGHjyRoGMwBhko2JafS0nb8dE5YEZi1Uaqn46hV
xCspCLmtY2Xh1/yU57kwKLU60n6ZdCBemrelyUSTgNMx4QQz9fQ6UFkp2mD2t40yWMxSTfWN/NzW
LZ3gBXPoTRqk+XlKMQjWs6n62uIwp5Fqj4ATP6PK5sbN1ZxvQxv7KEWgJ7fkVXV4+/HDK8ZhZq0H
iwfjOhaBtJjc0WQ8miRhc0JKi7qLTTkyr/QCdH3hkW48+Y1BNdvVKXAAjJcuPk+Ea4gsEXVPewaR
B7vsgos8RlWcSg4LSIZLNrW1ido5Je5kdKzI0zqu4ZoaDwjaV1QkN2Jt9/gAdekp4/SuzLHYW1F/
q5iRTLHDOpm1dcXodZJOTWK+iYKLvi4tZUOo8uecJM/spolN0AcF0FQAzrqCEHaHJCNAQxUdQ+jV
uz5KPrpwVp8oe5GrMRb2BzOrPavNwHcxPUCo7BTOBfkRytoUsrTXq1E+GHHRbWI8oKuwQbHfWNaV
TXLWDZ3QTkTTrVQR0Vbqhb6R7fLKMtHW4FuFRy3rgLpKurg5RSagy4IZ1ZRKByXqiQeZmsh4Giqo
soGspRddMCndJsyliTJ5bhqzAQCCFEVFKnqcFGr2lRQqjJwBOMvCcW1HglVpOzXiSCYnxq7qJvVW
Uvss3sEcmPfNUDiXMTkT9aqcbfb3Di9CcOmwymeVnjqfg+KkBxVVoxLm840+cE97X1/a//xNy1jj
b06vYvoT2fTyM7+dXMYvJvnuGMRJe/5RNq3YxAjIsornXbOwK3FofDu5LI47xsyWabGeJTyeP/p2
ci1EZeYNgKNUIpz+9dz4z7as2vIcWMBicdJ+uky1KIPsNljdKU/NyC/LDAJjmdNLXk3qMKNUiZ0o
mM21Hg1yROzEkP6PvTNZrttIu+2r3BeAA0j0w3sOTs/DvhE1QZAUib5HAkg8/b9Al6oklcsOzz0p
R4WCPZD5NXuvPW5soxcGMRSEqLNpVImZnxovadQV8T+QdQDqjkA3VsbkNJLyOo/NHR51BNory8oT
EOFaCFs10EK/Kr/OODCsa1dKvy0DV68H6zTZ9tiRyq41affizqQLzsSLEEmIgmVqB7+jEY/bXdrV
/pk9DRTCqWUNM47WQ0MQdeax+2xktfgaspTRQjMOp0QhMUXrXF66eSZvobKPr3pp2zUpS3H0Oljt
tM3h6V0kTlbRylbhZaph5SBxJ0aTa2Bn9EZT3cD2DA+oqsZzVrKENNKhD1p0vdWIYhu9jmhfvISR
ad4j51nHiMIOsZ3292JskP/Epf3mzbm/G+J8ZAKAw59wlF2uWcDkZh0w4CJ8zqU+WcjymAbbfY+a
1tHVZau36TaDabC1agMVSteRwsT4hWSHeej3TagDgzdqLP2+H4uv5rJNi+c5JShRSPGa0SNCroTF
qxjdfjEh7BMGJxDn1TQus1fIK8k2kF9peWh8x7gzukTPodjh/2WZ7LNsrOJLtWwpI2Unl/ayvfR9
4MTp7HuXc0OnUDQlHYkitSFmCP2G6ie/IJWle5Ss8bedn4J71BJxBhq3wFBiQtqJqWWssqxtGQho
rIbt7tpMPlkxenVCyzecOrbESOJmLN4aLiNbTR+jFed7ry6i41QlFt9b6mrnBCcczIUOdEGlEAb3
PUd4o/DP1RFiYYu4q9Vkt1Rws/DDI/gW55GxxhNxX+JCaF59xbcfbrUMYz7IETSDbatfqTnGpg7t
/xAlyMAqQqRot2t1Gy+Kg6Ebm41K5LSJhjncdk3XRf+crP+qCynH/vfJujhH/2Alt8xxvx+tQvxG
V7bsvX63h/JP34tCyCSfZxqOkAVGtvSI349WbCw4gjmJwYIwvF1kL9+PVtJyGRcDJTHZ9FmLIuZv
DKBhnfxSFC5KGPQzlrCW74JP+HPjQManjXSVnEyziB8bM+9ZaaiFKNk0gTEXW69xdgZ6TVsBOJ/8
RxpwNBiSKU/hO/epZ53Nqj8UabphmBB2getiQ9gk8Vg/5JXPASz0m0gr20M/JhG66TzVXkVeFcgT
EUdiMwvBhDO9g2Ps5G6673psFwVpJzd6CRujks7dmAFV9nACEMtHyVKaQR3P2ACn6l4p7ZHpwYNZ
2XKli5mU0HY8OJoiwcs7GkxfkZa/taza7awcV1Gq39apuPY97VEMXQm3lKSJsM/OQw3VQ4blh2o5
oWIi/ULLjQJ22Cbj2Omqx0zY5CmJbIOJKbuKvzVjMQe9HjIOBfsZ6T3S1Co2tqS9uhwXmqUO41Rp
63iMToZERgPCFq/7aZbuWjeIRR0KtBuGGE7tUD/Fuv+sWS4D6dy8yQj/6m0mPAmnQZvODz2O1UEa
NUTqcVPU1YfQjWBok1tfIt0g/fKijoqDUajHrMNCWA0femuTo64pFw6GKVdzMgzkyME5NfNs33Qa
48vYWWsKXWIodIlKO/Yw59ZqPasmWw892Xkx0aL9sqWswIQiS1HaxsuymcRh8rUc3X2LVXQsTUPt
+oVri9eHaBFxgFK2l7K9CnOKThONMNdf2wDydBxZ7HqbMe4KOfDB7Nt119nnfqJ6Nyvsd3E5bC09
fM2Y1sCIxU8ipyAtpxe4pVhREJ6CBWHgvIyXY2yNsam96C2Lk3bA+2FkqBo6/50GxDuz1Bk2no6r
RMjYIRXRZEJatndxF1qXooccb4gIJaBLyuEMfzweANd2Tm5t8sHF4FkYu3Kh4ec8/5cy8XauZh20
pnvUbXuvS/E4Dr2xjuJOD/pOGJf4dtKLuqR5iriXNrFNhx8OWGIgsVprlgfhTkFWvKwnU9ww0Hf3
STbsfKveE+RwLDIygaZGvNA9gsctVXLlwhknh9LaKq9A3dNB0FdJvrbH8lV1UFyH5EsFGSbxGWFG
hBeuU2yaV5a1sGmL3Q+H2h/skH5uHJllwHQz4QIZJjgktlW/TE1qc2L1rPnGVV48ZNY36CZjcfjb
X4KobofAjMW7jtfu52NI1dHUpYlDGlT3KrNrVd+X/yKN/lP9G5TD//uOuqi6//f/y+g9f+/+YHzB
h36/qQyXJgCEAUjhX72TNAFABQAFuyxS2VPy1/l+U1m/scNkysn0iRbh01b5/aYiZWx5WHgj8MzR
BvwtwsHPzyDDiyXAdbkKF/IWxqtf7qnUcztvLP30UuKet13SMndW8/TDL+YPnnMmsL/chstXYTzC
rWpbjGpsfj0/jtEaiOW5PdvpZV+lSR5Ung5Q1UecsQ5NkW1Ss+MMUsIA0+WVmALidJ3PYLMRkd/q
dXyTc1IIO04ukFORg2xoNuouyZbFSPS1HsWHURQHOcTnZPD3tTQu9Hm86ZQ4N3N1Akh8lbTRUU8z
Bv4DSoVUb/ytu1D4IL8okqz8byCMRnZCBf/YQ8VCWPCBNrLF2eggJYEQQ6RtyMdPLvGH8MdD5zhq
c7ELx8kNeq1DduODDCfhs0Kk3pcMfYT1GJK1s0PPZ34VBe5PjSnjLtGz2NnEsqnzTcWl8FTBpcLD
gE1xH/m4jQ6GiYSc68e7dFSnpp2LYQqJhofWtDdr03ucRUMcSSPyXavNjr0zqpH1xhrPtO42a2kX
SBxxBtraFWQw7cznr4MuIQtx2flUWrnzKisJHIkriHYBd53rJXszt7KjpBr3rvl6nfnVVpHbnYQC
4kDZb95WbmtP17GBZgc5rH/yW8c9sheMnhnRWU+DG5MMmitmDH0prYNHDwaUSCBp3HuAK521Pnb+
Q1V52FpLq97gtrQCUcNvyCU2zCaK1GEQ9nDpS0keG7/zC8xD3UsXR6dJcamoifwRv0kOGgu6DV01
ZkhSaW9Z8h5THYiqXxn+LR0KZKMUD6OnfLrauqBzzCzY9kbgNskT9IPhgj/dEDhNQtRFj7+3E6zN
pnxKjg5htRu3VyQq9DkXr8+91sWDgGPVdDso5PvRKllHTqK7ierU2HhacQYsT753V26LNrmxKvvg
ITcOQiffVwkpr5GpX3f+eNcb7vDAksr7YDO+6qBJOePkfFSJDOyCbLywMe51TW4jpycmtso2vgaE
3UOhOMFn75z6W9f172XSvqtUPTapBv9rOPpTseUAYSI476xJPytvCEwfq74tQLDHiK2GV92W56bQ
tvlogGnE9ifVG8IdXPxvSEQNZLu5uZtcwiwze3i2neQ1n8m5cLqsO/YDLk9tnC9EAXUrEmenlsEo
s+eaP1/Xm0ArPHcTDs6WkNK91OfnKewQfIZihYibnKSIcqwr9QO6tJTbNg5s173mZ7xFcYvUM5mj
IGmp96wBqWQMuZrOWdz0edmdx6Y/RWLiYcbdmDcTlIwQg55XqJPPS6RXhJ35LYJM78KrzQtrqp5I
rltn+JFgnNyUTX3BCGE9CP+C3IWb2E+Ouag3IqQYjiJwGiozVilFNRLh6jOs/TLTsq9VZnyts+KY
dNkJDv8xlcbNPBpBjnusyvOzbaXorxt1IpQFZCnUOw8vZJO5e+nbgd/WySpGQqvm8ehVszo0c1ke
cfN+K1TokrFWImCPSPWzJzPbNX6NEphd66y0ZvvnJ+8fDKcN8t/Ep+iGUS7//fnkjZUBmcHJsYY0
mdgMuQ9keFBZADEvv+gLcwzcAWtjFRcM6+d3o266m6bJ9HsPMsyqmqZbxNMX+hQGme8+6VO/a2Ln
g3iXKKhrVv4EKJN3rciPmnmmcxT5VQiVe4TburIaBj2u1+/xH73iyZZrcBGPgoH5htUjVaWODiAv
12ODCOZg1Jm76sNyZ6QgkK0BkBrBiQXImby4Q4FylHjz5i4/NhLlV11deJ3wd/2osJuoZC+m2F4D
cVs7Ib6V2Ep38K5dAp+6W0tJY13HzlGPfd5rM9JRoxhspdvpIU0Gi0BKiQBckfiTAMFrHIcRebI0
L/Nl3KWHbLR3NqvyIMmbQ1iSsiw9ZMyFF22ZCGzsqL7II2yQbimuEoKHclnsudcQpdTYiivVbau0
vcrS/JY9I0ELJQYGhzJ4bdYwUdv2OjG7IShmsvDaNn2wlMWEekpeyIU/JQSREA1TkyA4b7OsWWyg
O6MuFmzHc1qQ1mESFwwVZOQcMrvqW+W7F3qjw0XxtW+h4cyrWjQrRzJPyvIC/l29nGX9ReI6X4Se
b4kgwSmsZc+qEAbJjSpj3BddmbNtQD1nYG7VqbfHSSofK9CFpyRp2nMO6+AvKlWmmj8s9j4LEWal
HiSJhYJuLbKxH0uEFCUn470CRyaKezM9tkKu/vxloO//4SvwKQmnI5MAYws7H5JYfxFsmQ67GM+P
osvcSVeac5XIZJ/Ut+2Y8iQQjuk0Wz/d/PnXBOz2F191+bl/2CDKOutry9S0s67KO9ZIJpE55R23
4hcgyAqgC2Oz3rOfnNA8kONCjzgh0szLcbGzQgUv2/lLpbkXSW/pa0Q/29wfjVcvJpqs0NMHxyvG
IMrUyc2tZyfMpqORm47kaSqrjZzdcuPVGiOHGkmCWyp1kJNrvlYlKEALJDKS8+Qt51ndNLoTB5zA
Kuhh/a8H6d9Ji2AhzsMHGQ3iUETo2lT/Dev5nkvpvmvbrdONIBztdG/qsbZJdSoUgmPKnZqlvm6w
BQftaOOxh1cFuoXlTgKByoyADvmIULrho+lGAjHq5NBawA5H636a0cfo2dHuMSO0i6w0CU1GkT2s
U0fah2xOT4xTg1KFIjBzHbVLmHHK6k+DzgQlSYuzF0+7sh03QzjzBOubrI8KhpI1/Xbhreo59YI2
D881bn1EqnujWsYg0XQHMosCrtbuZQ+UwjR7fT27PWFsCbs1Wb04EUl3enHT1Cii+6nHuXccbAx9
g23u3ZJ4k9owHkoV76cQP/nQysua1ASs7uiViTnzGgYCYYIkzrZ2UW1duAR9/cXj9lfP+C/93ogg
cxAonM/pRXkdXWrb5tQ8whs9AHO6IKMrXr8Jwn+Oxrn8Op7+/IvDNv+jF4ytheGwizL85Zv74VE3
mHWQLGpp5zqwV+WFWNdbQmaMk/bkbsHvPVxp64unYYMXZ3jhf/JLdaGvjsk2pM1fFX/x3fzc2Pz+
tptwJcnWcGijfmU6Kn0k08lI40swiKjYAUc8tcP+z3/in8+s//4ajBN//IHntpBaHOcxl+t7BPtN
3fz55//Dn8HVfZdUApMxwS9/TfwwMxClhstbu24gRrU2NefvJ9Q/7ftyvv/v9v303v7RhJmP+bFv
NxzMkY6LvftzQ/fvCbP+G2xpAr0prRyGN/xdvvftbOg+dccw9hEP8RL8Z8JssbwDlaQTL+FQfGMV
+RsTZne5rf4jP8bzAZUP9jQWEkaCGC+Xe+eHl8016ohx59xfup3brbKBDpcqlGbObSx/5w7eC/Cs
cdvUNnxe4pst7Vh0noSx4SYifYa5L8OrOKxkc0Dlz5FGfOSob2rNlu51jZpzvC7H+rI2s+Qe8zzB
93iR3G3azR178Tj9atLR36iSFGSiWFkJRki+cLCVyxZRWHO87T8XIg1dtDxYoVak5sb4tDYVnLSo
/qZ8Jr8wMKXTJd1WlFNiHIuCJJm7aGZ/jhA5TFFkYmjb+dRspJVh+J+G3gnaakxJIFPNZoTUtxsy
RoPj1Mw7PXPax3mIpbHPSPCZN2YnVRQo4c/TJpeQABBmLLkF9J8a4JJ6ds5SdTHUMlE5d4njtCmw
phoyAKYa6qw46+8yM2/9jWPV+dUknFjsGpf/r6Ku+jKPlp+u6ibKoC1OceUeoBSZ+j+v6O9bIOtP
X9G7+KXrX/57uLZ81PeXFGcWcFfkPBz0nJPQPn9aAzmEd1j8y+9JHN9fUnwI5HdAhPUcz9Lpj/iE
/xqu4UNgs46W6HNfz4f/rcxi+zNX56e3FL80nwV4oG0KXv9fTnAmZTrovSa/1lnCgFKUrK+t8XFw
nWjXN9pVjVNg1c3JOcsFbEuFyF5xxGM26gIGBe+VTM6YpO+trCSzzWi8QJkoczoybZmj7L1cbp0+
3BSgvceR/xLZt6ITCLijnzsbLlmCaxpEJsSw5gVt7plgtnc3jTejb256LSKpzajPzWS9wSveMdWB
btbBgtKSQu7Tut23vn/qUhKWhb2dIWZoZhsDbBwIsKse3BEOvIglsbNWsotn8ZK3+lbo+pdYH+yt
G0I9q5tC7Vojx68LKH9lweWxp37YemF9wqC09810k8XpXTj09Xqiw9gM9XRTGhYTD6/eAjfUiVG1
9JPpssqYvXEOtNIosVC5V76ZfyPJot4pYZMQH2Fy1VR4D9j7I6/Zcegl3CXgD+eMyUCQRIwayW/O
13Ht2msU1Qp5jrfBpnyM7b4MojF/6O2WgxJWuUTkE7dohUrPx0WlsdOw+7NfivsmljvRTzfJlGiU
2NAKVTHu9Nn7MDRWKFiibqa4RKTk+c9patwq8CsQRSsXYpdZrJVj3s9F8pwRxYmOGRaHR+NrJjBA
DP+UNvrHEp+8T2dkACKRahN3DokioUmcdfwUp3z/kWImOUc0lw4UdOmwHqlL09oUnXyv0uygwQUd
galysCN46g1Gb9jVkIKDDw/pMqsy/sJW/XZqrWldEUKymk3S8iLiTJoSn1yvGGOMKR+Xmz3CoSKz
dmzxr5jdPeG65+/eyVXG5p6UlfrZkMkF28WLNiHyEPGSt7YdmmVLlMRBMoQlR9Kk2e4Zc5jVZUn2
I3oBzGFgLCA8Jpd6Wj03aYM2LGdjRV5xMFmg6Ee+0XFgIWnkw74x9Gsh0LfbYDcyIzy1kTx0Zf0g
tWFXdeU5rirSoicCnVEBYEccfMJGx0W0hrLM04cviBTeu0Ggy552Y1IrFmBYHUunIqiOnwruXtWM
jI784c7L8m1PbOx82Q/nUEu2SveRmZRXhl1eiyHcc/NdadLxobfhYlsyS5clmqziORBzS9AxOX88
oEm4drQ4hEYPPLDkk5aFTSPviGJNOoJD/zZ8kGeTBVNhuhtRL68qe5opdYKx8j7cdJKHCh3Mepk+
74zSPsQGMY8zsbst4wpiC7zSn3aaNkUbRknQi9x43PqaB/W9JndlivsjQKN0WwzWN2n31hbi7rfK
HL40s3yb3THdVB0Cu8gcr5VM2XUlzrBWvUMoRS4Gc23LkvRHAhn7E2dPEywQMfZgmB1WZdEf7JKs
1a0pa8d+GD6TfWKrJeTHYtwcwftnqexOpAB5n4lAXqlBYGIkZMJV8RhJr4AdzMklScRK3v2eNjT6
rWae5CSr02iXefylnS0xXNFC7yHaMcRJmfJWVmZtyTqImC/OL9gub7sQrwlj+6NllXLbau208zTn
ZLtTEiCmslYyd96aqqJO6h1ogqn1JdMcj1j3YWG3zs7RrHiYAcEg9CFNBBxq9bUOrZc4bQX9cMoi
dW4+ej8e2O9WOrw42lYdgsSq7VuoV9l0VnXHLNNHplNrZ6tsb7RQnjBxfh2S8WPWzPU4qZSWkRlm
VNt4P8zpGKuDTZ9CPHn9kpDY6pAWtOpZdGzoBhiG9eOdLtLLsPMvtFQ957H4mA18Ll1kf2RD8Vjq
SaDNR6EmQhrsdhNG7W02cfToMePsiTjdUx67Zz3L9cCfqoUfjX/HbAndnZw10296alFcOm42B6gp
oo0OrkpwY4Ies+cgmeR51hm12kB4+S3UdLmkYnYVvFcTNM66turA9RNMP63iXQq1eyBEsx09ibbT
+E2mGNg1YG9e5o98cWDCfubvISdiRJtyLzDRLqxHb6quiqkeN4QtXdReL1aex7Q/MtyrZCzPYA6L
9VQjaSTphNSffST7F8cf1Qb9453KtWYzF2QLY24FopvKh1DKLpBj+VTl1THVMr5HOX+RDcsA3jqL
Z2CuVqj/tXVL+kLn+w8c0Fu9zi/wUwBijMw93qyHZkh2WuJO6yHSFwTf9eDVt75dvSZcdOSu6JeW
3p9QkoTrobTCXTgbLUaElrj3gSuhZ2oubKpD5PcH31beaoiwq2Be2HU2Dq3E6q6yRKKZcLel6B9R
6u7xdgD+lIIHUFoT4MpiILLZawKfsfdOi/hXF7JO4LDjJgfX2DkCEHnPL3TdxfmVDnhhBfPuKEsc
cY3jH91uesiJpt6oikuQI2sL9C3CY2IQ2Os7a7UEMrW8aafIENeOAadS61CSsr8qDrMgT2oIQ+jA
ZhMSDW8eLCu5ZrXxqIH22mqlh/UtCTngMArOheCVsL1r0Q4z+jWzCJxqeiur6ImcyysIoW+zZb5N
jr6tO+dLlUUs2msn6M3kEBb1F72CZWW1d6MnTmaqYTQEcqLn8Um040tU5CAYxbuP4DWSyc1suGCS
eh2T2HKIa/aWsz5efzaE/3TGgjnG/+6Mz9Uf0YCXj/ledLPRJqbSFSyg0Ustjey/i27gQQ7CVN1i
LY3ZZMmz+94ZI3hlgqFDCv63GPb7RntRvDKoAeILLJgP+1sbbYKXfm2NEfeT/LTYiR0wAp+t8w+t
cTczxZS2dC4jk5B1bl9eDMrluLECrsoB8c8cSqbgGt1cDtUydKuz0imeNhIGwSrubT0/ezLRCZQX
EV8DFB4qHWsTavjkfGg7C4vPnEc7h5PSpzKC+VtohETqEXbWVcaOuD503IU4QgeycG5k6uKEI5A1
2roUmGsJC0jokg0ADMt+oe533QD2dEkCapOWKijSum0o9fu0FOe2dLj1CjaKSr9FxLKwHDHbVlTQ
dVWcyia8MMbpkTqTVYELN6iuYdzVByjtMIQiSoHESROYakhO8wn0SQL+ZgWvlV3EBN3A9a8BIMpV
HlE/yw575bSka3IrIUjxjm2pvompn4JEDl960CwrI8rR/ut2gGrtGj6QokwnQNmRPgPOoemJoZqn
gLs2D5h6I95cFMGeLja6LSm8pNFw6g/fqAdIyuEKkG3YgjQ0vk0TDkdpd1s29PvExuWI+v6CQ7Ne
J237yLKeOUUzXnQyk+shGQR2U/NOg1DfuFLAsQwpNkEkhqhyD1acwfK0qstUVLdNM65DF94Ow94Y
O9Rq8HBDuAg4Zf5KwQIxIR44jMCN51lAdA+yvDo6WmGxaWvP4XJD7EbVnxI7UGWETLmA8Mz+XGjY
KrN82ZGxMzai6InDF7hL5Sc7kxIt0JzoenJZF1l+vzaa/jhIio5Gb5+iCgvTnNknpYy7Ppo2SGbB
1dLKZWV6G5XDBXSbIHMTyI7OnGxCm0u2RvK0b7MwXuuTf63blbvxGvO9yo1ub5DGgeSvurQNrAwx
jsHSzB5c23kEzbOq6uZKi4kTI8BArKyc7CIvT7dpXjwCGg0WNYTUzWe9llUAKXE3jPndlNmHMmrU
ygljbOYeKzbVpQMPuohP7P8MNs0zoYzj+FS6gvQA0T9NIWROq7u3Oqp5QiB3VPxXaWdTeXsry+5f
J2iO6CrGEV85l3OTGQhCwDiavbyDtZqtqtQg/1xFh6izIhAdza10cPl60VcUwgmrOQopP02aDUZE
Y23p8mFIdMATGaKGyomPmlYdddd/KQmqgGvViLWojDsGfdukte4BRO40s7oGcDRCFjPvLFxEgYch
n0ZZg9VrnRO35gLKku2U5E+J5ZLlbagX4FPTPlMRED8c3lrs+etSA1ZkFnm17fvymY6C8nkRWuQT
EWw+jUWAZ44Y8rldpOXbYoT8GArUcMh+oOiCUMw7dWUY1nuLs21Vtc0lsRSQksL4iEQSIIAxvWeJ
f5tCTlw5WIrohqA9dbP6GAccKMPAGjmMhAXK2iU4o1v25C67ozCXd6yDeHSQ/tCraRUPQKLIba/s
NWSXfRZNL07cl/iEynIzOT7RAM3Z0Kz3rJ8QiE5EYrYZFny7d7eMoT/a0TrBn96ruXou3UiQXNLA
wUS5UU/GSQd4sPUmjRQ4SWTIJKxDRKLmCg36osZMzwb7dPTUO0UoOlKkm5QEuCJPD3Hf3IUxxfVE
nnM5theAz64crb6vvRjCgMK5rMeRg9qEc69NKt7cHIdTJcddmlVPJTC0tTuC3YQZu7LJzNuMaAvW
yTA++l0vCZnUeKdLqnMoJYDee5PXcUJML/UlorJCZipQWSjY5eP72CosOzbqgBKMcgxOeaJ93hkA
lvOFtAzn8rFlAbY2gTALy36PI/BfKnNBXANq1rvqzQfcPANwHhaSM0kR9/XCdmYxA7Fg4T0bC/m5
gUw1wJONTKorLWJKkYOJtsFF86MiroivSIiztvZClI4WtvScuxcudI8g9vQD7oYEUa03HazRvhN1
+AVq1bxrgVUX+FVXoQXMylhI1jh3H8yFbe0slOtlwYp/4p8q6XdMyp9WSaekjLr/nk0aP5ZJ/m+L
Qp1FAfuw/1ogIIXT0WUyGKT0+U+V5Py27KY9Nj6O53wuCb6PJs3F/MNKwRX4IF36v78FjXJ/3hQu
+wPskQQ6+NjTHBTxSxH1Q5HEPAmKIHOwy5jmtH0AtZYXQEpVYQRxrIEr82AdJefOy8wvJBAvQDPQ
ZjqNLIpFYGftJ/is/4SgqU8gWlG1QP5+x6TZHdP+rguPo5kz1qATm7ObinCEmpAEx4i/TqPo4S+Y
l8phDmYtiQoz7TphsfErYwxnJZbcBdyd8UoBY5uIZGBTnq0LkalgJK4hNsIv+FUIcKj0FDZ1/hns
kOVcgcWS9kD0L6z3IOazOutKqr48W5py9ipO94mVhFsR5uNG72kqQ4aCryKdv0ZDSvSLU4Rroy63
3USbRtm1R2m1R/bQr6aW0F+zTfHshGYASfghibQ3cSY1/MxUIpgQgELxgLMY5uE909qbgt7LZ0iU
zjdG7zyMQ/fkeNGG+QAkpH9exN9fRPbMf9KuvHx7b/9gS2DwUf9uWHwcIQKbLsghlgRLV/LDKg/3
Li0J0kscT8sC4XvD4v7mIoqFqIZmhFdlSYP/3rAAQuWd8dg6OCZxY4Se/I1VnuXwmX7e5Xm0RGCE
gLFi0veWb+LHd1HTDdWJ3oiuQlKS3IXx3XeYTXOw32afP9WZRknOIHYGDO4uhPCyiNDgyL0OOtxa
GOKjbyNxgIBKuvJpwji8mv0UWM5AGjgznUV4seoXKrkHnlxfOOVh4jMiTeo3Q9YA0zx52ctoPRjD
swPk3OByshfqeRLFXx0/DzRUgI9ocvR9iQwrKsZw7YaklfJtV1sJSL1K6HyYIjwzryEDdaGtdwt3
fdQca0s2yweRle/sDOEcL5R2r2LeiFzyrsriGyj2LzNAd22hz/kL472ykWZmYN/thf8u4SxDXYkp
fNzq1QMSHwOLLzhgV+3IjygXknxXG9caaPk0J+4V1Hy6MOfTlsBWQqmu7TS91ktzWiUJXpxxYdXn
DtR61no4PbrxDWg6xj1m2ass9oicjjF65Hp6PwDA5zxhNKvjn+5MLmJQP3cduHzcDDfUsS01NBEU
Gkj9GLR+3E+0ZbFOVRJDhQK/HxlgQaPKBSm6sPkradM7JB3FYazPD+S1lHsfow2UGDddRwvhn6Vv
uvWz6RujJHWMhpiQ1FKPgm7JBjBHT9vUxAU4DbEBFksSJcPwRi2ZAjEQoK2KkMX4eQHIY8keKJcU
gsrRdtUCiUlc1GjNV8Xuc9dFJgbvOqb+iVyo2MQawFVjIUzoAEkHIXkJzbxxXVIQELi9Mf8kdmFJ
SMCzWGzyJTVhIj6BghPUZ1ufId8A2Y4gkGC23KYJqQs68QtJaPSbYUlkEKK5ZZQVB64YsKAsuQ2e
5A7SlyyHVtDdRXJ+k61urmrgoCu5ZD+kSwqEXPIgkpRkiFl5Z1KO/cCbnPeWrDRQo8ZlOfa4Ynoe
ZcSZUxANCUkFEQJzQ3PuSoIohiWRIkEMyVrJzfd9NzGDjcY7FkbdIUS+CdeYhUMB0zOLSi/Ql8SL
BiRvqJOB0Vi5tQfO9+yn4hXZIr4V8jLE1J01Gn9+z3STFqEac9y8Kt9aSlK3cYOy850bGsPeOhoz
FQFKu6W4nJYy0xyJFomfpoh3XmRehQqaklRRm6qlSHXH4nlcytbQS/BSLaUs9sfHaSlunaXMZfuE
K5XCt1pK4Ixa2FuK4pHqmBYEwMBSMBtL6Uxp3qyapZyGQ34/U1+3Tn0hl4JbVuVHQgUuzPhQCu80
eDjmqdBnKnVBxR5r8VlfSvhKEeJuETd2KFrrVq+cgdAXSv6G2t9bmgBUnQdoULQFGd+4H+07+gWd
vsGhf+iWRqIiI6gKC3WsNPUiFrXWJzy3mXomEmpwjsnc00JEE1vD1O37JzrPodpOcW3Rs2ttdWeO
sntEkzoiMRaQ0R29G9q9mXj21yir7GPf1Xl0nUd5xFS00ayvYeSI8JyS8LsriJwLpB8+GUiMWZcI
Ho1wGRvzvOytCm77mOJzG3nuNnaNepen8Flacj8DV2D95uxjZw5ZGDb6nrE18SdVeOPN89VUyn4N
eWRea+C1cidCL2dwwhV1wvHEImUjo/Qjat2b1tGrPXmRW4XgYg+fLV+7tXuLWBth8PDY2IDkeYt3
XoiIwZfgHvT52reSk8yUva5r/cWYOMerklglyihjNPJ134fdvmGKwrMWXqlMFyxw4NCx2iV2iuDk
7FAuYQKdWb641cBmQbCqckkcSLL0VZBAUKUTLbnYlg0rmZmMgtAirABhfbZyyS/Qp4sSA0CR7T0b
qfe8Qza50wbvKlqiDwYyEByyECC+oIw1GXKRkmCgvFoZS3BCvkQouMV4VyyhCvESr9AuQQvlErlA
ZA1pyCJB4oEMBDr0zvw/9s5kuXFj26K/8uLN4UDfDN4EINiIoki1JWmCUIu+T7Rf/xbK17Yk1y1H
zT2xHVaxIJJAZp5z9l67lxUvH8rBVc36Kk7IRM8a6zyo6lO5xDrUS8ADJkNGsOqFHtEzMEICT5oG
syCpEKlZnkpSIiT4/F4pm98Su39JBoIkBiYhwxItgbhyH8BwM2rbhV9/ZNCTeyppFNUSS8EMbB07
MrkYNuE7BFeQbhEywysVtyPVosCc7BnIZYspWyHJuaaTQjOMFAyzd5r1sARjaLbYJ0tURr6EZhTT
uAbxcKYvcRpdHDGkJmEDpCDrMw7JtCeQSIqvwak+1Z21U2v+H7DOnqiOVOOrlqGQNkuKh0WcR66E
bwlwbAPbaCnx04DgD9ETAUAQSK5Gm3/Pk9/PkyrHr5+cJ9+K1/Il/mEPnBf+caTEf4z8imwn2tkm
kmV+9OeRUl9Om5QmwGqx3X0EYC6US5XSy8FvSN98Yev/caSkPY5UUf4PF/MXjpOGyd/y4Ti5+AoX
sQlHSipIB3LVl9LOykRo52ooHRUp8zpBiKisz2/BgD8nNQiy6zR5jRdj3UzLXAXyanPlNDmTP6uX
NHQOZWFdhWxLNkkUEwDaVmm+sQtZ04shESNqRkHuqipU1gR8rtuq9rwJ24H/wl+9AVSMFKoZCAQS
8YiYQ3LWjaLeF1Uqv4R1lnu1OlbrMrLQKHRCMBbDcgoEf/Q1pGtul6rNY4WzhtY7I8IZ4NPZUFhn
SQI6ctCaHTBjJMOdtOlUcutGhmU96BcXB6vqMrXGkDMdprB0eAINH2R/f2EXpMfnDSoWBzTpppkm
ikpc0KzOqHhBV9FmAjpnk1vrqkFT+TO2CHq97Skh0IaHWGQPZMFO14pCNxBJRSulF3EdRiss4JfJ
LBgGqAojBJJ8Sbc/Ii94aWOyXWz2OF2QZ2b3BuNNe8R9AMDmrADkQu5qPO7YF2W/NWpt8ZgByrdH
ueQzw+fE1yIdAVLChA8d1BOl5gkySmpQDqwb5Xg524m1KVo9vRx7+VhWUbR1UvJ+od7zonSe4zWJ
qEUA3a0AmZgkQ7ltgoU6o1oLdXDU7RVHIXILkogq2aWWDq6JN6w2/XckLzd2sSuavifbs4zPAlOy
D7EOm8MVTnBIgc7ZxUGpu+BS6SJm02AJo8J8Chu8CQOoHSCRzkOqiNAPRPUuO1CMERydZ0sn2U6m
Y8YxCr5n/h7NxgpRuDhOOQennDxzT2/slHwf+vdSb+6avrbOVAN3dJ9M11FC21zN840e8Q+nYR8f
jY7W8rSIFOG7D/wCQu2C2G36QdUPvVFJZ5NmeUqpZdrJMBZOa8P5Q25hQmie2sK1qJJMnFOUU0xw
ox37EopkUxv13tTJNJXKktMzM39sLd0GbsrjYmcWMtbsSSJyckDB4WZ9qNCyC2wCHvO1lDuvqtRC
2M4vy46ptKQd2srC1aBK1QWJiNNONVEbouLZSga28BwL942cBIFv229CGvdxhv1Dt86nqHR8NFub
epx8kzMC7/loT8W5keePcy/tCZU/zyN2mLgzgkNhc2jMzUpD7QHKfhpD8LLZrkn6bVrzJdkR0bhD
jAUisQKXk+dT2A08gWZ8HHvo/WPhNK4k+hz2EOFUZrZzhOHbTfOUNzYpUqmCZOjdtGhBinxNyPWa
sbUn97inQxUOAJbqqEp2FiwXoi9JCkRQxEgtov2Y3dqZfFT17hZcp81N6pQmNa9jngX2/F7VypUx
dzsLRqGW575JHxpqykicXeolff8UmdrGbHq/DUOYkYya27S4skv11WE2QEak9iac6UpH27DK6+ow
1TNADx3NEKmCCcM2Hc8PPh2vJ5ELq1L+Mk/TzbDcj0qa7JouOs3leMwRgVhJuAvGcmvlpcdCSs6u
IV+SEkc4zuSpOLqKoFtJTBdonm3gX24tLBN5BTi2HdeSsTih1PjFtJfQz2orAbROI8ufqvJYVLLt
F4QogNHBd9KFJ1UQMtaH25EpRF5K5xSca4I/OBCodJZHOvb5u6qrXsC0hXGsF4iMacFbGXRXBB1x
R8pE7mFPHwiSpORoZ9guOtcAA6AHZACB5GuFudaJAjHCkda8c5Mls7oi+oip6CBvcp1EjsDhDgyW
WAl5bTv5+4TqnBVuTUWOtsBemTbaqrCNdnAJtuPc3MuKIMLLvjbN6t6O2quwny67/LWYqrdaBsmY
kVZhafEante6DciOC3U/gnMZatElGsJD2WtXZC+jmWPI2siuDK2skuWt5PRbu0WPEWXXCdlAwlBu
iXNwLSiWrmlUDGHBwsjdmkfxonXstaK1Z1owccHaJz509MaiXTFBKQAOqS+Esd7zV9GCoGM3tTrj
rySCBRYNHgCjp7ZogStIeyBhu1mymDpZkds3KahHNomoCmqinyaGpaaF5o+Yo654FDVT1cra0T3y
K0IkvFI028Km/T/mJJUbSLWS/n5o5G9lk1yVyDQCfSRbrOOzY3hciK0lDO5Oix5lf4leel/hOusl
ZgyxtbXH4EjUya7Q87M+UBC24RgpOlii2XSCIcbhlDyVwWaA4pxryvhQMWWdGqwlqmPfBo152Tbt
sWiNK2DpsgtI6LqDLNBXlITNTIy5kZ1nRgjWppbdgV5JsyxUc3k/pQKthUFMHxBgqBsJSTLtsBx6
Co7MxW1TTWeKWu4llVwqksqC5xBywnXboiGcVXHW0HSYGeoRRMbGk7xSed4mIudUi3UOiZN4QDTg
qrRJkzIkklF5NQmyKER9nzbRDhjnkfU29uUmBYzS7pGG8VwSPefNsvIQGW21drT0Jm8EfKcx3aSa
ckpSG/EoetiiHDQAT9Y2SE1vUKXcj+fS63GVkxICmn9SlxQAchCKEwX0JgnGs5GpdiXhQiYbTDCe
XnrJPAEt/Ybe8rsu9JtIKjzKfI7knZdnbBKjU2x7cnV6xK0QkjZhb61RVfrwKVh/WiqucJzXY17s
JxHuG2Hc0MdaNGJw/ltUNTHC2miQzgoViLBMDUEma6OUSCHFYZaGh7apXjp7MVW2Di3k8dDrFGu5
zPb34Uh7+l2A/D9Fl5/wF4v2//73i7Hk+wlRU9Qlq8nCQ/DVHCOGpmm6uJCOck5ThYlreiVRnPz8
Iotj7y/t8+/HUKxA4Dc0naOt+qWrST9QNmnJSsfRfm5oTHQPY/keaqu8j/7hSj868H680hfvYBmU
kzIHXEkFtK6THm4BSJ93pXmXdI9xaXo/f2M//PR4mmAZMNuhF/e5XavSZ7GDrAxPvfQoun0dvhTZ
y88v8aN3xGmZwzKX0ZjQfL5EwLxOdqYqOkEDT4ZNN01+Rj5aHm5iODqq+Aes7g/eEeJiihbMLIBC
zC8Vw9KbUydZxCemXm6s1ehPNlX6D++JUdjX++HTRZaff5g4tYEkDDPgIknTuKI5T5xo9fNP7Z/e
xvLzD1foxSz6puAK9CJNPLNpeRPQ1/z5RT4Pzr7f1p/expevpkoZm/V5G59GiQgQw3PiEzprFrgH
A/Nxe1RRH/78ij96W/TEUTIZhC1ACvn8ttIYTXORKPHJqi9rOfSqbGcF779+Dc2UTR0JlqqCR/18
jYBEU9Pum+RUtJGfE/FXlB5y+J9f5EcfHUxW8Dqg6SzV+XKRcogsK45BpjfVQ2GeR1SKCYuBE1wn
3V6nSTkElz+/4nJPfVmDWOL+uuKXLwt3LW58ZaL3D/aI4ZvGAernV1A+fzuLt8RQLB1DFygXsr2+
GpfbEp1RNCr5KTmHxrVj8zyUHilrl9GV4ZEdsIYFvv75NT9f8vdb8OO7+rLeMdXJR1H1yak3sd8S
Uq+iM1XL7c+v8uPPTucjYec0TOPLt2XOimkJPManoCZijTavLf7hs1s+/a/fDjM57jYHShHopc83
XcWAmcmXlJwsSt/JVjltPsYYP8Ik+Yf38qNP7OOVvixwVMRlg0knOSloNuxLI7iu539Y3n58Cab5
igPOR7a+3Gqxkva2PofpqSiOBr7XMVZdtDD/sNX96BHiZvvzKl+++rTpIzGFXCVOXzKifjXJbxCK
IIdLxUlKN5nxD9/R396WKutEPpJ/wlYEyO6LzxBaokUiUpmdRL+pm8fB9Ov56hdvtC+XoJf2cdku
iI0gSRWTFJIVIpDw6yXGP3xsf7uXv19imeNilnTos32+RDKOuURKYXZqsxdp3pnDf7JGfwEUzkKA
1YznhMYbYtbPF2DptAalmPMT57y8Yxib7GJAOYXz9v2z+leUvDz8/70re/30Qn/hrRA/IO4ur/yz
LavQe8VwJ1tslqxcPIR/tmWV37DWQOL6z0941R+TfnqvGhYyiFv8SwXd+LEti8Beh2jICRYWLx3b
X2jN0hvmNvhrxUN1g7CHp4kbRKb6/NttoiV90dJkGI7YH2Sk/nG1htaY+EvMSG6NYk1rkZTf0dD7
hyHJ91U7OhtTti1gKnHsBROInqCwFfqzpi/ZRk6GbmF5phxLe1nMT0agzvCTxNtg1i1NIzpoVRZc
a51kHsCO0PfsybCoxr6+wG/uJ2F0R36jPxAXzeTDPiOp8gzd8ns6TndDlJ9Zenqss2ZlKerWiZkg
OkkeuXEOTSHJwJDPE/yfUdaxXC0DK90w3xJLvx1M6THtpbehX2ptFAveOEzMo8r8FTsgbWhZuhBy
3zFDLBDHLTz03jGfp4jqkBOQ4mUWcuie3vWqm8q7KC8vVTOk+UXWsTWRT1R3JI5iDO7CQxjvaHZd
kcB8INzubcbQNBV4GaphpTXpBTaHNSkt33ImUYEavEDhvekNhj1y8j6FGFjiTL206QkziSYMuQ/b
WzivtF46qrYuizLEC8i8a0cjR9kkFRzF34ourr5tbTnxtIw4HLlALzWXjCnzWIF3GCASl4TZEroR
btNIJ3xU0jZdJyVXhpKpqxFSp5tMZK4oMRoKo6Q3SCxKTOt9IDTHJlZplhpCq8bM1aVS3nRjuzNk
JV41mojXepcY247IlfSuCCUrPKjtnH9DYguaLKPzxcfXz3gpzYF5Vzz4YE/eSWjajlF/jARATi1v
hXUQgWidx4ZC+xUFqyWhVc3IdNWVYG200NktOR69lkGkF6pTsa70oTzksxrf2oN919Dc3+KjfUzh
IhLxxixt0BO4zlVHMPxk3zjFsNNy2glwvDbZrGTQ7ZVbqQuUVScP5GkGc4HGuAivcj2viYlRC0wi
ZN7LfJagQQ5jNJWgOGILm5FVIvvOxhNE7hY72VARdNQ/txya91aq9h7kjrdKiWhE6JPsx+gBJLsM
hCuzD+eSoaB5Ft22AXi2VRszu67NOqPHaxU3qUpGbaXEJJ/o1U1pi5UQpuTO3UyvEKzxaBaLVF4i
RUzrSuYU03Gg/+2hmSORHJm3b8TqsBdYlBnrQoUTE0HXQeXV0XBHzhBAUNJdXKwuySrUHcJ2R13a
SZIzPKbJMJA2Xwer2BbFBul7+pJqRrvNuqEm4sc+S4do3PazsP1GODMwlRkBMDOf5nLQlOA8CjWI
nP100ZqWg+BDQnZQxjyZed+saSeOK6EC0ZJs/E4tsQRMf8bZ/3c/+n1K+NP96PDWvLy9/l3/qX7c
i5j2QYgwDPaORbjJjz7sRapuQ3lnPscp+sOIUIMWSWcGuRlOGNLrPgIklvht1NoINzVi5xYixa/s
Rd/bFJ/2Ihv1KR0MPPL0MPSvTSBNUunN12l6VGRdNGeOiCsZ3XSuSyhJUgsirtnkk9fhzYV8nq46
GIsgT7bjbicHyaZY5EbLSETYd0wZsCDH/Y2i6c1eHgmCvA8WBYIpeHwmGilEai/yBMyARpKLbaVi
gYwRMZTpdBwlfA+OpT4F7Jseus19hfChMEfIQUghRiQR1aKN6OzxDpnYq4lootJK/gJtrrbhaADx
tcut3jqXBLa892Wj+nmSM9NYdBjVINLbAGkGnPXZE/KEyXdUjqwPl0OOEcRcFB3hou0YG3vbm9hl
8nTYBqb6oC86kKGcOr9ftCFlWfc+xW2yrdD8+06D4t4oA6QedXTfpbVYFUaVbkLyOty5kpW1BukN
DZMmJe5gimgLJZeWLAu0hZfEwjg+ZlK2jSK58lMdy0WrKNme4PPwyhLW+M3sYXqUFshbpKjGMUaO
6IVKrFxME4PAUVdPUcFwqmjRyJs1qCLCxdp1VOYKPeycS6uJTfhTLbaFuuRvRw3kr15hgEfsWnuW
sPlekm2t7e2qoROZO1Mb8jsUdXymW5Kp7JyU48haHVKXfK1UeVZqTV+xjblWnSSHCMsQKnTEgxg9
okJJlsCntWzkl5ikCHUdp3J02YLfUCp+q9v0vJSRsOXWsMlQqHhgUg6NIx1aUIckGOLUrbIrjPNn
ldo8qFJ6ngw4KWo1v9FCjigisl90hCAYsi6KfERzEwkrRdc3xaqvab2WIAiMkvmA7rpwZZIK0go1
Lz7VgClrtOvyAIhmQBd8NFXbz+fwZR4pAwK5LGn+MrEr86ZyDafAgtkYL0xCG4ANcuqNqmhXWjT6
nSJWVj7dhosZCkGxwdymT8hpZJQcwIkU5pDjNTcQ+YR5jHgjRKTFn0z4eyNa/xYNPS+VF2WnQeSu
Pes90W9xv5JH+cIyoK+kDYq4qYK6KOMtNeMRW7PBKDXO8NPKufpojgrSzam8HhaxtDOREBIUreXW
hMM46KBcFAkOKknrLQ/C16y0M7y+qISSCQc+hXZngOue8E0pbLNe1065XyoL86QcnLXNrS8DXlgV
ciPCVWAIWgsSA0r0WYlVpmdFK8qbf/eP7/uHRovhZ/VM8T8uqM4f1jO88s96Rv4N0A8dYLpl/LWf
ZCYKXGGdpiDtrd93gz/rGfM3ZMsqcCIGfbS/KOn/UJmQl0QUEv/LpCu/JIj8yhYCI/hrOeOoxkI6
wgjKpsVm9rnqBa5jGH1qS9y9OcjectcvDvYiMyHdK+TupNa0ldB2ekmUX1LFkOIX8zAMUG+Hibj2
LBFsKei4KuhDnmyaJcmZE1k+NfkKhEw8D/l4h0DtsZLrw9RpuxnaynlFVqSvoxILKu02dJpNrmCO
DAXLh5rUHmqKF1OJPSArLXxh+dIB2O4OdmAAfW9gWFrvI6iIdTJU17lKsqkCTXZOZ7rekjX7uVPf
6x2M01ipkL3h0UrCCpsaCRVFjaFKkZrNkBJ1qEMdcNsOkSQoBZYvEncYgBlgWYlCfayyXpouk6G3
+zWz0AGBQLk8PmyncoU9Z3nOHB64cnnyquUZ7JenUV2ey3rS/H55UtPlkV2eXQf8S748zZ2cvAoe
72B5zoHJGa4mLrL+Vm1hoQbLejA4aJgh0F9by1qhsGgky+oxOuyKgIt7ry37vRm07VktF8+1CuOA
+ACoBj7SNko6M9fVyzoNU7eILDAgExrAqPdTq0M6O6byUu7dF3pJUqNVHqt5LM+pHidPshy/sJyj
Fla7IisvWqXd5M3CK7TORiO4Jw4HP2yqTcxlknVX6PJO6Zadg/ftf4+KCswyc+WM6Ft+n292SDhl
H1uhj78MZYxCoGQwaPkxsOWbzM4QxFUWa6Bp7fU8FqkrhjoG1C+pmd9kpmn6ymAfZnW6lFtMhbJJ
1GfCiug3lXy9TKuDugF8gtijDp21NKrw+81L0kR2wYI97IHXyzMUHhHeCDs/kmK6UUd1CREnHxXa
ZzuwqicGbKs8+UZAyg0ZKZuB0ghLKClMTbsdu/CmwoHcDPE1qLh7Enq3xLDS9M6iyjNroyFAQANp
hSRUxu+zHq3p3MSuv+crJ4+zS94SfL59w+8mTaHBNjfA8VM5qczWBkLnIzkKPumRgSu67DCHwVVu
1NVuYuE+1yT9Ou6G50Jq4cLcNJ2ieE7tXIZRsqpaNIwV2VGmghkgGZjIJhsyw7Y4KxFEadoB8u1j
3oUoPS1zTeQUJVldoesI40VQPXOHDk9OoJS+DH5yNueLQaa2lO1vKsVQ2UoEhY4rSEvPIE7NFcfF
6zmMjgOY6LoZziNDuctqWfFldVrXwGS9OJUuAtnZJHlBLICwFy7mcw/oxNeG4NwJp8HVemgWGX8M
Ss4gOuEOTb6zw+68XwbUOhkxI/igM6s0mNjaQ6aulRhhtDkDGLmKZBr4QD/Dh4TjQgEmAuyB/D5L
7TaN+wfozOvB6f3J5lfQ7EeBtCnv8ACXVIea0iGzRZ8eVveThT5AXVoYgw5QUe2ubKVmkDuCcmwa
7T7umt3A2DmT+gBlmX6poSSh832pFk7sTXN/MPoh8kaj2ARFY++YTmyjlNBlO/2WqOk5mqRbC42I
S2b9lYgWPnZ2iIp6n8odicg6Ycd8F3nVv+g5j5rcQDxXaSbl3S6cFEIw436bqUAfHfWKm+Ss7GiH
RI04toG8htDdc1f197laI6zTs3XfyqcSYi0hBHvg5IC9B2kHf3Yr01QWOAHyedgOKEecOT0fHbER
2Xwp+pRU27wmyqfZjxW3rE0Bn7fZLVL5xxQBnF4bOwHxstVJ8C1NgObRXd/G14bd3lALZC5zwHVv
RIiE7OdUrojYAEY9k6tMGuk5J6uzYl40y8qA/CHdwyl5HDPt2lkM6pgEXKWsZS8x5Y3ex+uiqo4G
wROxZb//ezb5vbb96dnkACT45Qel7YdjCZiHhTzoUMLSdiIA/lNpu/RYGe+BrPzdwPifNivYNaY8
kH0hr+E+/HAs+Q5k44zjaNgRbZBovxS+oy/zgk+Frb4UtaajKJyByFWg8P44T6jLGr11lESnmkYZ
RLV0QI9tWEcFVhinj1BaCICYAwezcQnOlR0cQpYecKQfRbO25VwR14OphM47uV7bRiq04AkceCL7
A4GE0h5lL85GBSEi1MNZksITeLaYvmitR1XvKZ060neajTmLPaLRA/jgWGgIE+8nE/cGFZeD+K2Z
OmuGPBzX0dbC2ED0V2JIrgYswNjWYYM/vyBOmspuyJpjiPeCA4oGscUPbfwXrHEsrLPopDeDtJLN
v7f+77c+E4H/fiy/eKqefnDn85o/D+Tqb0uagcFMjIEvo/IPd77KgZza0WRUtqgoGN39NWDgSQFs
ZTGSWNJeeNUfJ3L7NzIxFtygtvSKZGYPv9DU0ZYBx+d7H9WZRlOH3hE4Fc74n+/9pm5z3QABfKwq
cjIVVeDidygOK2O6VZJ6Eyxl9KDUq6DqnuUueIzNkeCpUd+3RpABY5Bunb5eycZ0MGZUTQYaT5yy
tFLD+GhiqpoCG5hhqHgx97lfox9MR+cwaMZ5mZcbO3S2XaIeE7nQXdvECduERYK4dLg2DXLghKa8
SWaxRz2PPKPXw4NlAluWKnLg7drwJxU/fS0hSgQLJBsDzV/VvrMq7dSq2dGgR+V2TdGjfOsz/B7T
JhixYEyGc5kl4XU4pB55q8AsDKTYYVbKPNP621CGyWGeu+qpEFxnMvoN7fXQ0zA80ubYAk2U1+Go
NCsswZEvnFgWyD6rs04O04XLVridajmrNKq9ODPWTp09QyFaLQZqt+rbTVc3SLtKmPPsuePakomd
GNJts4AVQuF4dRutGj1TdoRp7DU5i88UrI1BMZHv2RCvGqSYClMCCJzBvK6V2CSdqBGehPEGjHuj
H+3M3BUD9rByhiVntEa2o5i6MIlm0opCeK0IHtvQvkkYCe1iSdvqU/DGTBc+E+o8QnDzVWsk2GpK
vGySrm/LKGhpGuTyDUcexJWjscsL7Hp6WF3RhNoiDre8yEDrG85t7ZVxGzA07WVoaWSRVImzjguM
UnMUT34dgIowwvSlUQp0jDUlhpBm9cqpFZtVMCW1CSsNJtdoJdGRW/eD7KSYW9UcFXlQ7MxOMras
aYM3SHa6q4iZHy2d1VLXSQpRrWQjSiOrt00blsE1wwfpjLzY11AqAWUGqXM2VxHH0qzZNXV408qs
6rJQt7pUCS8Xpt9GneH3drGy+6LcF3ZzaNv8vRxhZOnzQLeyv69aTlUwVu46tcbzCnLI64PqvmfE
41vtfN4V43mey7rX2An+OBuDagnAczAOMEZ4JKQ7MSjM84g6SVS6QWaoHy2aaZ2NIjymyYhMvwR+
1m4AAZ1nJrYJ2RGPtPOPgPNunTHiAGUEu1CtAa/gi/ISpY79JinbdRwVJAGkhyjEBp+FkU874FAw
qRFGj0bHkl7jIGZmNdVeKIURjir5VYurO+rylRRmbDQYWZ76xvAlRXroyZmHWWQftBE+hQJI8tJM
9UfUJPtWsV6tud1PRnUxK8A+4lkH9mYcx7JUD0WTbzK5zvzKMvfa2HDcJZxMUqMr+GjQIOPpUbVu
UsnXJ3tfxfHa6WF8B1HceAVM9bi3SGVJs0t8JBI8luahksRVQgYNEBXCKqmePVPjsD3gq43hjErm
dl5MJWSgoS5vEERCI3GzyDlYjsPBMT2y43qdzreuIhftrTHcpPn86Ji9WAtiKE12foOyOpOS0BN9
fd4N886p4mecBMQuKMoKdL5D1zq5Fpnx7MD6XDFni9yitu5CCTupkgc8xGVEFzMSNHlZC11nzsZN
W3AK/V2C9+9gX6Up9JMd961/ev3Rnsur/txzF9sU/SWZifn3oKwPe64Cr1eWUS0ymmecwXb4x57r
/EYeN1IAWPSY6nn5X3suOADZ+D73IPmWvtUvbbnfU3I/HTctLCmYumjU0aHit/i85ZJXUWlGEE/H
uDhpk8XWQR/Gxa9/O87A9uWJ/A1HLc7Jfr1iIvg8VZnkWXCjSNuDsIcZVHYt4Zy16VLRQaQZJfPZ
idJD1jl381zfakPxjiB5XUvmEslrPWRVXrl2a6oelJeNrObn6J9RXge9g/FHoxiHFJiRPQAEML0z
GW6stdLkOICcXWU3d6H53qcZt/k0P0sBkVsso9uh7m7TWJwaR7+IbbjaCIKu83QksmkML+DznjGd
rtxJaveKnXTo7GnBjCXveYYMquEw7nadHa1pQAbYM4p1EUnfuir28I+4yOcuMgJTZp1gpsKyAvoW
LW23oVtBclrXNl4vmkCuoiuvsLOObaqYDGDr6XoGZxz3AXExVevN9cj+l2gxG7fOUb6QElKSjId8
Jt3GJBGcjruc0QSImSQPQJSlMSDYqIRBOfSrjIHcypk4mQzO7FLXX5t4MqBXGneLRzr1QgBR147V
sWm7nVGi3R5NaLy3yjDMiYcHrCa9qBZy5NO57JuLcQoTtpsozPQVYb5klfdEo5t0y9ppI2fjdh56
0+8wrLhJCLxc1nvPmoPaDXA16BbFAnantyoxDpncOi4C1sdZ57SGHHdwo6C7FUXxGOP3CAycX4gG
DL3dTV1HphmoADMptuSASn6UViQuW/3BkbGzppO2Z6b0bdLNs7yqYKYY01OtGPWtnuPTyHV2+N4d
qmFHobIZkyQAtRaAfouDLepPYpBqbT91JCM5EjaHSUK5Mef2ndTj/zFriU6JimuwB1rHgMYOht3s
gF+Wy8pkAlSsnF4icqmuNnEcWS6R96dCDcDEopknANhFeX43Z9m3zFDfS43PjAX+nkh1wr7SW+wX
D2HenMYIxNEobFBo833bLEhTmFXBmFgerAW/GMVZ3pF1BrXlvsdgBJ72SUyxD2RjDxpspcTVA+xr
sQo0OjOpXFBdNdkN28Vt1Bq9W3WIMmQr3eMA9KuZxqSwHmpGZW7TmYeGASP9kY2sYRfH4LWRJ4xp
Xfdo2OEV2o21pRRHRO/HsZIdnrFZhVHHNKw2i/M57S9ULVynxWtKd7PrSQhqh2BTxsMCZdCBnRkQ
JcijtGWikxyStLh2ez+T0OMxdHzKA9zLhpwKDyrCGeBs1cUSdGPOHBrGMqMT11g3RRHuMXA8zHZ0
yJzxUlOlDUczXOm18xosyGwH2LZp1WTK5NyAweL5GX2A+m9GsoheeuWG2/jeEhSnSlBeiNi8bB3t
1ZknUp2l4VQGjP3yVtE98GIEngWF4WZm5Li2aBTXSMfsNKXOVZqyrkSkz++CnqyVfFKGdWE6z2Mg
ntKsPgVKAxPQMoJVO8jQ+aba4Vhj7Cu71U+zZm/oVEeMIfs6ua4K5SWYMJGH6Xw7l+W5NofPSqGc
dVk3bfPAkXyRqhcRQ163raIWm5RdgMkQb2VF476zonQF9Gex0tVs7OAqXLLZGXwZWeMFenMONhTm
uHIWd8ouisRVExLfihhlZ876xdhJ+zLnXcZpvaoEBF1jlnSCusIV04vOsy199W+R/b3IXuSV/33L
P5F/9dT+vcxeXvVxy8clTU9okUeQ3/Jpy6eHRHmDLBmeKL2iP7Z84P06P0Kvh/YPzd4yjvqjzOY0
gIKATfrPmdivlNnWohf9tOczkAP+w29BYW9rX1WxJGQVdIUm5WjAhUu3zIFJu7Pr9JAEmafP7aUd
zd8CiHRqLbLNEDrfSIlDBgYN3KBycIKMnZytFWsQSIayuTT7kthaed8FAAfycaeN7WrutkyTHsow
PAvCNQbPo5I4wG1Ax3imsSR5KDOpXi06L3OaX9ndIHx0LMV4UB9oaGW+rUnkPA3iYS7z7cCytNKM
/sS6qPk1AWT8XN7PPXw6lJEHBJJ4w63srpAY9eSN/BZX7fswq682GUhERqcRoZbjdW6PAxIK/WGY
pG/NTDQu4ZOcAEwbZ6VzUZjTtJf0FMwXqARo1CSvB8mKkSR/MGjfjaDT+YPER/fKCkOZCjUyZg4f
6OoqjwgnBOn5Iqf3rJKQ79E+IEoxhmZrLn6RwBIN+K9h0j0jxW/HjIqgplVFX2zXtMDqn5QYeo0f
jwhVoqKPwPsV6Rb9d82WLXWu0MfKlxertSz/P3tnshy5kWXRX+kfgAyAO6ZtzCODc5K5gZFMEjPg
mIev7wOqUp1KSdWWey1LZUySwQiHv/vuPdcb1oTXqUAbx2QvzK6ifjmaPRJB39yEYwm/fEqrm64Q
MThV4gnKYZwyMXEs6gpKeFjCRMnyBMNICdF4qswFp3m/lpV02evBJGra0GLzVrCl8Xxrazv9eIMw
Kgl+xvqK5eASebw4gAzjMQi+8uxberxig1cfQsJl26EKeLYh/dWrEvES6KTwt0bSfphe4dLEV+KE
TPxgZ9jaa0dv1wJSAeV6EBIXBoX2i6jW8MXo9runFdaihZ+xzhVvVa54+1RvYbJYcXrtCmQOg6ZT
9o08Qz0jl1uZCkJ6XW1t4ea+0y/hbcGPInFWWnrtTEVw4JVDvvT7/MUF2IYuH+k7tpK8NlBfFjlw
bm5YTVKtIAbxJEFGfVUj8aICHNOithi0Glerjj2ex2PQt5S8hCSciMeKrYIcS1NDKOHeWB9koCXp
7pCoqBTbmcSLeZPusm3sqZDp1pWvesZVDSwBoy1bSUK+lY3NRnYQ0XtD46fMbXj/kF75zAWHihF5
109J3qxDUqT6ehDuwLzKtPiRgrTduSjLN8VMvCcZUR8bf9Kro+AmW+nDfaoZAWSolIor4SWbIi0f
R80LlvqE4bCgBAfBgeb1rn4G2P0lLWhB8F2vX4cZD+Auw20S6w6UyTF+NPLiOi7r6OvoEcA3wyA8
ja1LlF019JS1N4T7XHYlyMggGcq919rvYdp9bXV/0wcuayRP++jjZoa+Rs+4jA6pTJ8Gu2c5WGuU
N2TVfIh4Z16KfZt4HwWfU62d9bjMvddd67o0woOCZLLIq+KKEMCbaXtfulQbMOYO183Ehsqtql0x
1XcYQR+ofvRB5jF3l22FJ2qMaGeLxq0wuR1TKM7FmuxjH9ToJOFtoFe0kga+Ar8vyqMFrJ/LJiGf
3NxFRXhIHP/iiv6sDVhrqTVx+aTgucHcA3E8SsnvsjN7jV2uwHbSxLtAdDhkZYs9uvTkwSYrRZ1I
AWPLyl692uLM0tt8bYvyuui1Oy7uMyI0iQ5B3vJRxoK5Tsbe5Ufifjriz92ogTPJL/rgJqPviets
rd2084dn0n2fqwTftJn7k2JgaVsdvPJtCuZq5ZrsTzlh2m0dU82hWXi0lTTG9RSH7pzpTjlhnHE7
tGO89utIUF2UybU3xTBfK+ujHoNplchpz5b3wtX0mIn4RGRkXnbq5lbATFyzjPM3CbCJDUt4fZuC
YV9JrEo70x6suVJuEYXpRJ1cZG5NMXDUx/y0Ycan1uyRTdIckgd46xQ7EaeUPvck9Tm/qVV11o5a
9gDajWFvtZhxI87oLSmDJmDjgJbHMfWf7sV/1Y25BO+frzqX6oWK8L9edeav+n7VgaYuZzA6zs45
aDBfWr7bROkHZ961TIQM17Kk/cNGQdAc7tgs0kDQ/E4g/OOqI34TLkhPLiYUvrKI+CVOKAbNn646
bCbYTXjYj0DXQjuct20/hCpLHuNRD+YTs57BXWVKE48Vl+cftaHUj7lTc9Br+th+lXF4iPzx2Q3w
wCsnfhMdHaLwrnpnxzuRLoNS6DGlW6VaD3GEKgd/vXgMqo6+VVA6dcDTHAaVFkc2T1IlqhdJoex7
w3mHpzy3mL1rJM+cLp+cUXATgmsv101am94yrSQwsiqGJQGaGzc0YmH92dqdRMoGfzKXeQ9V9aG5
9P5ac9G3FfndIqT726eNhBsUTzdNoGzD8eAhNvLkDWkNT1sDk0vBekRnh9DfGGI6hbSMk7w6ySLd
G7SPD5E/UXpD88uEsL8sapINZi3Dk5L2Vlfadcx4c6t898h1j7l9LjkPvBqiVF1Qka31yXq0Y9Di
SuOiVLaXoakvWjK4iz7gnjFKhBJ8QuswYOvJFNZo8NDFWH0kormLUv2OlVVmLbu0ya+1MpnOQgKb
LtUmUHb4BAdx6TRUrdd+RqI8DRaiCD+Qp+OlqbDXmIW7gNyOMCKyO822+o1yGYSdEkhEheoL1ZpS
dbhBGCGHhY8Fa2UaeXjpgh7lAOfWAtP6phk0Ckx6HIg23AB9rBbCa/OFMtkURdoZ/N2mw5XFBVXJ
h9qji5sRnyVo6m5YJ0ULNK0l7elYYpSjnrkk8pgyNFYxXCV4oNQj2NUfPorYFoD85P8lBD/3wQLa
BZ9Ef5jJ3fbnTJge9nri1fGVqYfEcNLefKHf1F3ieKKd/t9R73PUMzmT/vn8u05f3t6rvzn/+Krv
5585q7vksnBkWTgcf4psYWBE2rXxGXzuRr+PesKj9w18MkMghmtDpzLij/OPNJfBThUGF0l2hsdf
grNyzfjp/COyZc0p/9klb87J5T+ff93YszORTn9phi5Zyib5UnTjrVN04O284JIZZfzGRyyHYSju
ITeiEwqNPZXTf2ghbWgEBoGDa5StA3PT89QFTMUNgcrz1ypgwTakTkXUKb+V+FvQXAt/23f+GVBr
juHKeW1FdGd305eQXdbSTOFAmkouBxq7d4mjDmLe82bOzEr38s2Umnd8r1XfYAaqAImDYx+pOHex
V/qUHTaJ9wCfliVHEnyLa/csK/9Gl8MlDOpd4aCDoTXdmKGubxh7aSOQ3fVgOgWTomkvHJN7AiSM
WRJaoEwvBQ6LPbJ9xHGNt40b+MZriOggI7vrFl/0WiT+1qYfAVdZxqGp5H3lkexieG2FWLfA+Bkp
CM5H2bifjFgum5w7FMT8R8v7lhXcwsxh3tcdCIQ9US4f0QEFgkrOdLx2RMq2O3Jn1jC+dzr2U8PZ
OEIDZqWHj4HBIQ8tcIlZEDonrRpstNjPOQC6nKt5wxgU1WOhWa9tOx7xN1MpSQ8SoKiyNva0jd/Q
sUVFmWXfurxCPlbEhVbA+UvTq0p6tDXpr8kw0bSkeyhiukHdmdM/ZKZ8jl3virO1Z++Uy41qDfgA
g3M0YvceRC3lZpP+GHVxyl0Y1qbwH9RQXSkEqKBKsG+nKVRfGNmddq9EexrC4bYhxqbb2hMZsjeq
GxDUcWsuKxUQPJtNjWZdfjjjeKe3eF1K6Z35M5362FnxTFz58sNQ1to3Z8JpO22UU9QrUwLfBYZt
xy7byMDZTrGDQzYvvorcfiYiNkIDH15kS0EVb3IWlAFZjq4pTkaXfvN5R3oVJT+SlnYjtQ+tPe4K
u/nWacTazFDcW+w/A45+ylbKa0PvGyhLQF/Z3jG0aWO80kKoXaNw56qR5DFueJEm9PyFhUK7kJl5
29hq7akMvFFG4SYcGoUO0gdXZls8DvUzZeyCz9xzhimgmEMcYcATBdYq/QljeDP2lbf36TwnQlEP
WMUAgultLwm0GDG1H0zmkaY+WIs33glHRIMKGfrxuG6ypJweuk/536KEEWE+YDi/y32BmK4F4jGS
cbGWrA8ADzDdsVAYcslmYV4xuDGP8NzbUinC9sFw3RW0lfQQEWJbZwB9yKOI56KzYgglfNzSkLc0
8Fp7EbJTjQgTzd2Lq8D1hjuX+WRRhOFlCKdv87MX5py7gkS+0Vmb4J3lWjAY/jq33XAFAmuTOs7V
IOVMtoSa436JWMKEroU9lLWM3TT7iDUN5LNVytomjdqNmqV6TJDHQtVcvFjxyDCnIB1lKpH2Ha+u
sWXWuqpjJHnWQ3N9VyUktxe/f61t+VgU4inTHaImrJZi6g0XZTlNtDFFj1bIPMhOJFy6wrjq591U
Pm+pkjA96ayt+K/mcphD0mVjsQ1mt2WWpNlF8jGy9FKx86jK6MzF7rUiM7vUKXy0WZPZ7VzAVoYC
S2rPpNiwF9d941Uf4luXNRt/PPZtMaGFJnEesq7r+YSIZmn1brguaenGESpJmbIBilF6i4YP08hH
z0EDrkNzX8+icIQ6TE8NGxLjgDX3SEzmBDsRntAsKKcwRRd+B2BZRBkJH4cQjMyMae2jRWuU8m4K
r4w3TUudplL6VT5L190sYpuo2fh0X7QxO4Wo3NosdxvD+AbEO74byRstq77fqVpi3QBKuHKC8q0v
dBzds1EEffohcu1jqNRbRDk5yUw9u8fJsNNy8wG4XLb0EakWqeMDhcar7fpcr+x+72TKX/l2u1Mx
TwfVUFPRM/BmKe+1Omu5tqV6oFVAnGbRjgtZvmYcqSF3zRlR8zMv+u+N6PNGJLFc/fON6A7nNLCJ
9q93ovnr/rgTGSjZkJNIDuIb+wykf58JTcH1BpckKJh5LJsRot/9lVjTmNGgns9Krcfk+MedCGX8
M0vowijhYTQPmb8gfxNH+/lOJBESHdRhrI6Mpja79R9nQsNvaWCqwO0OlU59XSd7NCvZLSbZ70Cz
tzzgWRqS89Uv/BL6UU8zKlvtyEn25N6LpwjQ1hmYysyIFyX0F1vurKGtr/rEV99U42dbJ2WVGqYO
xpyACXSpPK0XPIi04bqusuZCAk0+a7rdbAyfnP0SgSRdTbmfXyWB8pCsw9txSC0wxYZ2MEmQbSfX
zh4ad7SegTdSNGda7bmpQ2eftHlRLpyWrJthETcXrd7Qdl2b74XVpk+0geW7wKq9FYTM+qXjDgvJ
zmXZWHn91on76tiGnbrp45yO6ajZBFGgVh1mdyzxWi67t6KmVeho0CEFD7gpknZrfBo3ZeDNBfWf
1s7Sr/Pq4oSUsTqBMYRwLr0Z8D0bQycq/pz+ykXFtXlUS05WdMfedUiSdarXVhas1OhoazlBl6hN
x9e4M0vCJERLvNIfnm2o4C+j5ljFAjpivglC2zqMPLLvmr6YXoRlsTXIzUhHiUUPigLkXl91wSvv
pAj0/DS9+HU4vdvR8FRp5SYPooM2XyIyg8bQ3sLFrqk+MEhptOM2GSHqBQYg46QY1MpqvAQcCmzD
FEphEG3qrBGc+h0mBtCRX6QTpfvUMx4E9Yc7pVE3Fep9t7DwwHE7qe07N1TZvtFwVJADsq8Gr9RX
mVl4+gK7IIynWs/e6y71XjUHuppIG1CCQ3aJXUNbVU03bDtNq4d1n5ZkNAc/Uh+OVrBIV37OlsKd
s/WT/TVgPbiaPCd+GChNPTmxjAknlvGzQUHcsp8IZ9QJ5UdTO2hH3rwYCJ0ZxR1U/pM7Zf1DHlfp
ui2G6E6LBnUddjwvcqZQsNlSdjUdbwzyHWuMZl0PVr0KKty8yyC37J3ZUW5odxDWSTAMvbgZ7Qqm
JT5f413RZrApI2ilHs2JxFzc/9BR/lXn5mHtn8/i26h7r+ro298IdPMXfj+MDfmbpDuEwLbOYTfb
1r+fxUh3Nv4i9o2f4bx5dP3uPoIBzWcDEQ4nLgUiNIT8MZ+K3zjSSYQjyvwHAv0LZ/EnM+vHTaTD
CYw8iKPetmd+yXxU/yDPhWYORbIVtAQWZamckwYGAMgvu8Q6o/VVxsnFa02RrNDumQmj+f5v0Djn
cHMiVAyQNb20RamxORm0vWXl4tyyBlr1Zp0f2blndwxB/aUdpDrNeca3Jmj6g5n1yZ00OPpkEXv5
shmIpJkRxlLp+hsjruC9OtChvzJJYpHQOq4yFYEpZtxtYhpkhtLceu1QhD40EU23Zm1HLahNMuX5
aJACcz2EILsElRGbzFZxtsRMklxnWevfm3yEblulpeGdHltJUFN5ZpTTHh8o1poKxRTYvOHkgck3
bMGM4KDgaVmFK+T/YnyBcdrdVJXh4sggK451Z4JHe2XbKl5nVlTGD1o8gVYpu8RxiP/aZUXYSBA8
sToIVVSHib3ssmY9IUGsnAnTCGxMt1HlipLmcKV3lWcdu1nA9D+1zGyWNYk+oHBq5ax2jlEuxHY0
6ng/hmgYq2KSt3S+dw4nAaJpgXrakBI7KBsW6NkCtL13SzfqbicOtc1IZSspuZA3Zn/OvHTMtd+1
sX9PhPm+9M8nwt1L/j+nNqr/5/Ia1ervWEM/Cvdzv5eJj9BDPYQNhHD+/WAwjd8ExwU4d8qwZpPC
/x0MtHgBhncp+BMutziPr/ruUZC/caniyz5RW2D+fikK8LNsT50qXDUufGwWkMNm6P2P50JFHVJN
EiG40IaxqE1I0v8fdfPn3iJXkgESQJOQUJmBWEPM0tkPZ09mFLqn0nG4ChJnn4ettxlMM642Tjac
B8Eikkl4rLfT2MVrKv0w4xqNS2Md82mxcpE0zk7lePU+D/zy3FaUqOCyEnZ5tm0NrKqs2zFY6crA
3IN7aF2oXlfwdGBDV5rUt8NQ0npX0DnSgyHdVqEs13XRx1th4/DNO/s65hAAZMlB2BbQgiL80CbY
oCLWqFDqp+Iur6bwI8PLtxEGIj6VmGyv13yipBnT5MX/WhuK0W4dykwXd0gQhBVVOZQ3Des6sjvT
ZtIMi1tV+CSUcQyHEPc5ndSLxMNT0JVbUsinvrWNhdNoV9wTH61E3JdefVcl04mSz0fbynKiEmWB
h1qeykquA1meQgBitIkme/xT0SoY7CNtH3SoAuXvggL73QAyGUVjKsYDScZnFccgkFOH+2FRXioK
X3eQDCh50V9DOxmZGNG1pA/mwU0NtsgF0GAKoEayuAsCD3iuJH2hzTBYW4wt05EykGPna9uB4o+G
jtZtllrVCuAGgQBF7CM6Z70l1r6Q5SII1Xaaqj2NM7chpa3bOLfyFdjsfUXZDNRoY5/XQwVQN7sr
quYYCmREDWj129gl9XKsgn4J1WszKN6qgxGtJdykhYZjH8FkP6jy3Etq2gzAzYsEgZ6HKxWqQWzd
WXIsSEzR0lLnOLeYs/GQ+BLr3NicS7vTWLNU+w6a1bZI9Xdpt99YlLhUJdrZUXgw4ajntqIblbsZ
IU4ZWUt6KrFSMjN4SWxsCQC8JVq4n2yAVYbz0ITaNg19e+Fik/MTd9kK44Q58qbLcaLBP6LWcl0b
2jKzCYAQQt26fWOCt+eFt3JnV+vdF+7+ECesYJbCvvLkORd6IygGGQ5Wql9P/KOdQfwU/94kDYwn
2otZk5rRhj2EqZPwtZ3nPA7+18KdDsBB3I1Fs0HlWA8llmI2u68dlsK2oYhEZsnJMsfrwI8NCrUT
lt2J94yj8Fkgm/NANk6ezKlglxdu3uD3w2U4sV+3pnJDW/G9O9QPkmacIUiGlRWSc+tmREQELCvr
oiOTzJ5nKVuvznhUWnjvutmDpmBg5/3GCdSH6QyH0tMOw0ABA7vyQxl729RO2wW2ipUoDMLTrWxu
ZR8f+P2OVqx/BVWGi0mkJLsL0uOmUIA95JDsBi0znwuGnqfaLUgVDOPoP2SNn9wOvgPJf0gNnDc+
7PqoCVellgCapgkDTMiIM9PU9FXPx+LUKSu6auXEpJRWnV8vW2XPnzBcENBGPLBibum7rxNVXauQ
6lytNu11V9tXPjTwNb6tDg+RV/NmprOhG9v0yLSDlGxat40O0BRRqqR+in4bw4iPXQExTCX9gvYF
tHVVYwz15JNt38X85VdlixrjDHV+cEVqn31F0H6YqHGmyuZVgsHEbzuGfOSI9UvrXodvzus4wpgZ
g1OM4gQh3r9JmuKVNqdljM3KjXGbUwFxN/NrhFBfGdRZHsa7Lm4+nKq/pNYUbwIf2jPO2Gczbjdc
QL4Wo7Zo3ZpeYKPEitSjyjV1jplhHnp8azUygceps45L81tmN8NWlbgQ8u65w5BkyYbmoKj9WjeI
3RV/5qQnNOZ8MfL60WrzL5ZRkJwY4rshHU+51++aEtCA1sdfgnDcRz0f0WE4d0z9QQa3XU/t26aZ
LlDInofQuipYC7iy+9JPFYb34hA5U7fppMdhoVdL/hoooMnXqZwpvLG9haSD6SotI2TPaB/UQ7gO
KUFdxpZ9xxqSVzAFjBDkzj1u7UMjiGQC837mSXAs/YJlNj7+iC6qXREHXyw47VS/VTsrE2uOG/wz
w1nk/PZZ6JwoL6OMOTgYKJie6rhIFkvlJhd0nR1pbSY+qlKorHzRXIb0Ptq1KboknRkvepMceK1X
0TRg2jW9g2zHm1rp/JgSNI+u7SrL/uqTje5ofZZNd+dLZ8UYMG1AAhaLLAqv2dt8+Dra3UhAWpcx
4egpOntWui398j7LG1wmebGjYKXcwfQfTwhOmO3MU1tFX22/oLRXoNWbRbPJM91YFFL217rJdsit
ArFO3Oopp3t3o+nuRcfYxLaiLOeYEHmacMg2rPTeohR7PlBi7alXNu8XQG9ruuX8hZBR+o0KGGdl
iiyk1HY0zxTi/SK3mCsI4xVJR24hrO7+Qq42EsvIstzXruL4gaxD4r1K61f3xD99i/mm9cMtZ+Rd
bCcg4K50lAnbubTqMsTXP1wz/2YX/efY5nyTmn8Ne06RkA+1xE9TnMmWjjBSFFwoWeVwvEzNaRju
6W/579+GqfMH2+rv34boKnURwjYJreA1+fFXCYp4FE7SBZcWXEIZh1wM55HkoZXXfWcQO6hIR/7O
mv93lJidMv99lFi8V/lL9e1vy6Tmr/5BYTDEzOqZYe+fVJ4/JgkkBhejsy2JFPP3+vMkAW0aHBwL
apub/I+kOPEbCNS5Rdj6T8XwL8m9n7PCjxoDKFCSxDZ7cNRlU+g/zRLeYGmKmqnwSktcc2XNo68L
+XNvz+Nw9zkZN2VTVZhoNCZm7PtMz35f1vHDGCckdD7n63wetfNSBVxd7XkEHz6n8fb30TzgMs+g
PqQdCcpF+fsQL8Cycef7nO6ZtSpG/eZz7ncbSgMri3DgItccnVLRYIrvswISDnfH2FymiU5VkAE5
HQpaHG6USnkM4hXaQdxi7Wa1zmNuULqxAHnSPSryEsT8LDWNS5lziC21usyXiVDutUg6xT4UIVCz
lLWTHp1GC3agPoRMI3AXrPyiMylZ2l4yf8qCpRvZ/tIrTOYaPVti7mvPuuZkV46dd7cZpqd1RcuV
XEZO3u1azbfgjJbuVxPn40RYyiumRUcMZVg4bmQ5REFT55ZNIjXeU5NFOyrxprfM1CgDD+RY58tR
J+hoblrPijl4pWiTYu92otlaFX+QehVRy/7cRJVh4OjFHC1jGpvyNSoKwgciRjfNsa5eTJO38wLM
rzTVVMHWASh7U1dd/BVnQX3jObVD06lt4EDC23Sf9erKE7UiKqLxal7nWtDp66CeI0iBX7TlPjSN
FotnZMbPCSat+8EjyIErsSVC3Od6lO50kaPVaq7y431pVPFwyBw6pt7t3g3ePeE5W2AJ/iaNQgT6
yDM5sDQaPDOtclh4RvVTKAxVXUp4muzUm39NO8bnimpGPf7zyXX/Hr5kL39dUM1f9f3E+hQ4ZjvM
7DMkccHk/4f2ISAkUFYwl1eYqJOcc98XVOQzLBPlU3I04c6dRdbv2oeHLDKfcCywHL7o1zjLAPj/
9KCDs0xlBqcV38vj8PwELvz4oMNlQ8yeH+PSEaSsV7EAFGbpuzjPNdJEwdpogPVatOuyxm33wImN
RcEnc2103qGxKJFRQhibIB7vXa0ot23Mmjc3IpKTdraOW/UWmINhsJhpyReCLWu1ldDaxxqm3+2Y
0dhhVzaAVjna+3hwVnZpCiyRXXWGpNYSljdDYE/GK+WdHzq75R2MgavKpONhiaE5Ib7Q3o7GcONQ
SH5TwjvjTO3ppE1zXD2ssea2u2oRtB6fW095i4yfyh0SSGWttjPo9VrHsw/ebaNvRg6NZFXP7ocm
pwPMnuMLgQJ32Qjo0ImfGxffBJcwtDn/De7SzjFSY6H49tPswq445fguOLOn2aONvFquPGzb7Jgv
MTbuATt3U0EAanLzpZmd3vbs+S6azlp0PgVIVr1knDl2GnnUysYfFWXluJ1CzIAVNnK3JaxafTrL
Xe1BYTX3sJwrNmx7q5yuqz4ZVwJbuiidtwKbOklGZ1FhXEf+uuYJcB90WAX7vlp1WNwrrO46lner
xn5hzi540gzOVqXFU9ynBxuj/DA75kes88PsoW8pTI4w1Vug2tXssjdIqGJmx3mf27ws2MEV+W+s
+RE22EUy2/VNfPsu/v1kNvL3s6UfNXuAx43NP5sN/1NdQ++sn117AAthFuskiHjSBGCGFXmBYg4O
ZHOEYHBtWp1JFRT86VPqC8Uy6vRmzSMIqnGqEcaU7bWqcbHoTh+vq6mFgtk8dWHyDT+O3PjC+KZY
V21QnppD7psMf67YMN10G3sQPonZmiAHb9dtq2Mj0CFlVYvIYIBRUuypJvO2tEUCsqbVZj/Q7DbG
9kom9atQ/VzNAW/GiGvorzZZoFxR+6eD8+azr5YqT9INNoS5EdJbsA2FdEG99sInprjoinBa+QYe
sRR1ox872pLQHEJ3uIjO35lWfh0O+cVOXGjI0aY191m28vuzx79Zy+ZOlT1Fx6NznWT2F8fLLklO
OXgv4nHlx8M2AWeml9F7nTdPThrqqwJ2z4JScYxCjlctC56jiybON0Wizlyvt7WWPdRBu0/K4NRk
uIoMs15GiCNm2u0wOQEW7z3e7QMNcKk5HVw9fQ7r6Mqy2cjatJPt49I5mV52FTVqm2qCVsd6NJdF
kkwLsD5ICFw3sAcZ0b6No5PZRicjU8+pMZSscet2YRs+mV/rS0s/l5klchuCj14NuPCXVoh9iOYa
Np8BYRmtbbaBRBb07GlY4hW57W3/y+Tz85WqxSYVEVFo+Dr6O+mcokBOxcnen6r3MhdybU6kyyCA
7XTYnVQsYn/2eFlp5gq/mL64aXqyASJqR5aRtVwlXWVTDah/0Gd6lBHNwCG5XZhiVBrmoGCy6Hmy
xb0/Y9wrariXRNq0BerYLfIzy9EYY53Ib0wNVc+YqAb02m0z6ytl7voY09i1hC24M/O+C+uz3mlU
jCr3EAFcWPhOdpOW+WpwIu0QUjgTWU2+0pvhYI8uMHbyVs0AFBj6d7q0c4zSqcT+PenhGZGJujq/
GFZalX4Ek3/P1ZI4vWEibURIkkMYf6sUDoAC74Hu9tNqDvUtc+7aZFS0addQne70uPqmcroZgeut
cUCBpfGCu0FE69ZEafPV0fOybiNVdcCNj3GSSu1lCcWenIZNv59dWBtKrZ/Iy1GXrr+U9RBtBzMk
MNp3V3abPZhWd5qAA84L9rXs5GZuIu0K9xipahfjsNlNvIlYMNtQqpC1R8d4mwx1tgLO7METa+jm
a25H7w33zGYoX6YhWDsRn856bJcYVp8LpFLESNLqPRJVou+chpxOQPSv402A9sbJrRas2d2VlUCS
HEbnXrVcWqX1njQclJGwqR1NZ30S30aDimCIHr987V0qbwq2puwfU963iMe4+5y+ApduggH2qpvK
wi5lkwgjJB288Oys1kUUtkTVRuiALCwvrqsR8yWZva3q6ilKjDuLKNYSlM2D4TTPBFD8RcW5sKjp
B8W6pKg7H4zNZLqvwneHbUW3Mj/faxWjkedu8a32JxacsdGtSP9NV/ADLXBG5TXPPJRi/r9ehcfG
g0BERn8plFasvaz95s+kId0pv4FlvsSxBxxU8xMsmv7ZQAMkuz4CLyi8DrkdbJIftyibDSeY71pX
ITrnSqkoRx4qNkUb7EZgAMBhXjH7EjvT8ruxoDQ90uKv2HLfZnSRYFOx9X3UurmydPK7O8MCzl92
9LlNmrMnZMyjOJfUS3I1AqjE8GFrRn2ZWe8BtY/JXJHqZrRFODhda9pTdQxnjAjqw9XyYK3TsNpT
MLjWSjpPA9pXk7mGVaHG6IhMNxUYQ05zEGRn2YXbMJIWbtg2dPfIT155VaSAuikpj/QZUBCV3bTW
Da8MT5/Xx38VgJmu9c/36HmZuIreg79bI/7g9TLs33TXYBX4O/5r5pR8v0oz/CMIuZi8LHLG80Lw
+1VaiN+45M7wX+cP+u/3q7T5G+lnIUjscAX/Vcbv3+V/pDBpzhEwVrCO6dznf7xKR0zPdcgz/Gxw
8QyJ3ZY4AJatbSWHLGIIBELSTQ6xWakrk5L3fJzuWozbAU7Sk2hjhzdlvhQNeCK9/Bo7qWFcQ+aA
LRZ3cAMWdZd7l6xopkMg2jTal81o3tNvrVl7o9YrjWeX1lwyX/iHZLS5G5lQ5I27yAGmcGTsT+s3
Lw/s/lwJVVk3XJa3nZ2n7yAFCC3n2KGgBOF/3+rz6tz73KI35djsZcr9EBs7Psy1PweYJumwOXHK
UD+ac8CpKtlXLPMcJliI52hZlVWzbvUxOlrNKE++PymIm1SnvrR1DhlBlj6+VkfCRyVB0l6HpvUy
jvlXJwneYhtshSO9bKls61012bvtFfTRdlkpv1GQuXT1fGmWQb/PJ93aNInW0rUU2IvO1Cl+6ZPW
gOPVs6zDWv/F0Kh58JLefxsiu9vVIjf3IefQSUtMYgFGhb+9bAccEarcypkTVXWMx1mSk0x1Sc0S
XsStzsnHH1etbJZq3Jd9drLZ0W09+sv8yjkDd572iSQXFZnUw0ov3DoR64EqmB+xoxuTdCLi4+TJ
SrneuytZjrndtEsNQDYYH7ajj+tbqzPUdr9CDZfDk6QwdZX0U7dwbGtbGB42wWZAT676q0QMbO5C
0rNeag2ryqLAO9aUeQHDltwRJBO3uW3n77Euq0NWRvmXuKO7FkM0tbNdfPz31Pqc/meA0X8/tQ7F
S0n9518lgPlL/5AA8JSyCGXWxwD159wi6gDGVVZ/DhKNpKni/84t9zdMEXx6ERF1E8n+BwmAHCQC
/u//2KfP6hdsUeKvFlU8Cd6sAuhSzHyon9JdDCjZMMixuoxUiGO0N1uj5AqWuzHAOS4AkbTPWIrC
K9uqtuhg1k0JzwQdUb8VvrxNqva9IKrIXjHcUz59DB1j0xHGSLhCat10SHPj5ObGajKxYXdyeCXt
ctJTljWiza4wk238wDnVobZht3bDFe7B+V/2zmM3cmzr0q/S6DkL9KaBngQZ3sm7CaFMKem959P3
d5R/VSl180oo9LRmhSyEIoJBnrPP3mt9a2ISxh1u+xXPCidp8HhId5CfFl4IRZRjlLY17PAOWaCL
vuFyStJTN0Ve78inUQQiOeYIbHemr6e4QxTcGsy4JL7RMq2Hb07UHn3OlW2tPWkBi2ArzoPmqtWc
fa9XzC/Dk1Pgc591l4n9qVOxDBXVEbr0vaXjCVaUk8NkV0qKc6zEJ1FX9B0YpWb2Qrl/dKLmIgy7
YzBMLtXrWh+6JUNL2hb4qp0fTe2I1I2hc8Ou282O/czRcRGZ+n0c91sJ9WxvNFdhMGM5jr2s5NBU
1tdTMwGJG6NzYFjYmQZPic1bo8k289RcZXb7je4FWT75CWXXoTezDQHhu6yeNl0FtZARsxWXJxpB
Sw5HWy3Qr6zQAo1F6HZr5TjI0+GYdJa0UCaYyH7yrBX6lVOabohRdZF2DHOk9hComTcHPWqF3G0s
6Sp2xq0i+3e6yHoQ9XceKYsqjCitsTSEvly5An8c2emA06EaL9Op870iMp+tHho98pC1XRrEJo3l
vaqy2mbD+A2VJwPLumYTXDaTM7DnNHYdb1DPhdu2gKZ31ueZUIdYN3NtTY4pCD0Frnwvsp9ECFRR
UZDSK71Kirbc5SShu40IjaJbox1HY+69fiKEIx2hMrEjqrCP5vhKVVQUd4hHgYLT/wKJBXuTeHCq
TTdX55n+CIFLcWnhpBWBVp2ItvJ7wi0a5MGRPlUeIB18n5qZrGYRilWUFfbcoLlFn0tkhQksJE7V
y8ieSm+OfwwiXMuR1BuJtK3C1jyYZ+dZNVY6aVzEgAws/xDUieqCL3jEtn4vIQeMj3UnZu+TCPcq
2YY18r4ikftVZHeDCAIr+6aFm0U4GGgmZvul/i0IWk52IkKsbCqaXLpzgt/B8XKMXxwGtYtexxHR
ixCyRLVf0YU/5ZN6S4jfK58fAEUh0wkSEWZaCdIb9zxq5ZyxGDjSiGm9gu219jQ7OvdkoVGI3+nj
9KOz5F1MVppehNFqlLplRIpaNKscMtLqxJ5XrTIRtaaK0LWC9LW8FHU+9MelGvaa1+lMXQclfxhQ
GXpNlb1IhbBgjbSwLMAyqzgZt76EjEaGGe7MPfQWjsppO54j2fomFB6j3te0KuiY4MYlhgtCtxWm
QDQpl9RKJckDNkClqWu/UB/ailYgyxS2NuCgAf2DzowepgCImiPp3yO/yjwTdAyxcd+krvYQPEzu
6Mtelfv3GkFbNMvoOagdgMtEUFMlFRskIv+5Lm/CAQ+YHJNPPJr87qPvP2iQRYhm8C3uL20FURY7
jjPwiEbJBDeTx7KGq8zH035kMn2p3g8EbY2uVBINtNOqLdN3k8/W70q7OY8ZrcdpRjOSadshlOE/
9Xe5LO8QQs/QHR0HH9cELl8eD0koXw9Buzfy8EaZLHlB/9TL67hf2PqgeeYoHSKYnGhMk1vkYjjA
yBDwOHKm3XUYJvmqHpDqu1Lhg92H8+ZK5NNudTLX4G7oi1y2pbWMnI2EOUQaeZMVq7FTIfdN1J2w
mi1lTC+joo/cf2uRn7UIpcHntcjxGXzXbyoRXvhXJYLxhWhSDMRCPYkv6e8TlMphSIXWYsAWB0v+
fnxq/cGIVLWoU0xZpnXDq/48QVl/KDKJhjAiKVDAOf+jlBRxPno/PMW9wwzCBuJgcV5TPw5Pm27o
qsychrNcXNSBvpwwZb67KL8RD/BJ372DTZo7418KHYNvKOzQH2SY8F4SrbO67tzoMeKYO0k+O8Zl
o28Un7E+QRzLz98Pk88X7yg+0TtJhEqIRcSQtDvHmFbRwgle4tQUKl7LoGguh7qwd31rlBCKcR82
5sqMATDhRPEN7JUtOiKaFU+j6qhbUyOUYIJQ4ylNgafPDg9GAYPKVhO3rGX8pMkPZ5QeRLZqoag6
GYm0oDBdCHsqHXRNDYn0QIWCPzUKNnpirpspjVaGYdEGR2i69qcxdyOchrSoEbdxvqpJgsSkMdgu
XbArm+qOYVVBg6w/SJXPrxRHi8zHmEoP2tMnmormcOkDh6a5rm2KQrnosR8yeNrmMmErSRzsCyzA
nSbd1tCBFn3+1M/axWiFmx6iLtOmZh21QJVoe4aRMS5CsxhWCGIbeNzTsQAEf221zLcZaTPQvS4A
7WzMqmT0m1ebygyl9nIudf6hy+qxOKeBfmiR5BKENTOQbhD6oJutiFKwDyYnYUnPDmSjbMeEU7Hj
nyQ5OU2zeU++I1wkhqULR9NWtRp9B+//wpTBWA6GfhxLfYdHmDlKeWj9YYktejtp0YWM0zv30SqN
04EYz0Nn14XXzpnsBsawb3r5vgIFruvk32T5fGukwGVoiSanqMsv8qQFg8zhbk52MrFyi7E0SSJs
IXBVow0ZuU+wc07psomtW87+pKNIcrBSsxKaaDe0oG9UcGqQQA/pRK+1sdV9mrG9D2c9tK+aDhqh
Qn9iEYb1SimznZ9GF10uXQ895leCLRaFoONEDCiy9sUKOfcqZnypBsPS6bIO263ioS/y9Hi6bDu6
tA1UTnPQ10Pdr2QOqy2ypkxhwFAU13OuX2R+VbnDCAKoTZP+apzCK5wVW8z2nl3aD0QBuKNl1Del
LJF7FNU/cnz0GCnoFxM3M9PI0wFJ44V+lYdgn3emV+lK7LKCbdVMJJbRejYlWul+cBFG/VE3YkDG
GfBQY5laucvEcd80BfowEjLmFiaKdEJe5KlEd7BQXE4E55AMRMWn6f6K3NI7vW4AB0gZrDAyhXIj
nTbJAEK8Tkn1pCDgLC/tkma+YZhPQmzaUkUV13EPoSxGFdQRZ+p2tvrsdPFzbNnHokqJUouBrRN1
wgS1GUgA9Xt787bM/Ns2FGfRTze99vl/LZ7rb8/1b6bw4sV/bnzEcLCl6GLI7vyPOOjP1iFUDabe
smOy7xCHIbygf1qTjD+EsdRh5xOxAzQJ/974sCZhJgKxRrMPoQ+z+39wBv91k2A7ArYIhAMTCu1D
x/yoadNCRRpaRMWnMHuam9M4Pr67LL/Z9sB8/LINiXdAyqbRRgDP4bCg8yXfb0Odz6DQxzd66mZj
yUnrx1Tqp5SZs1G3P8CUeuR9RV6mwxdTpHyrWrjXqxhQaFkuTMks1mCT17mFe7qRb+IuXOlN+SKl
DKZV50BFSvxti3Z3DtOz0itGQupAW2nnIMNlQL57D6eCub4RMg0CsDzNzWKQje0oVI4DuCDtTfiI
zcrydKGGrNTUh8+MQlJvVM7/QjUZC/2kk+jfO6GoRGIeUGSH1V4RestAsc9WaUnLFCkm6idtqQh1
Zil0mvGI+V0T2k1FqDinOt/3yDppTyD5Vj2GVizWQvmZIgElI2D2akShPuJQjfGOHTIqm5GNSkI/
qiAkJekMwgnK0ibDwE/H1AvK9tpiuCchQtUqkn4RpeZlt2uFStVArjom9i4W+tVghvKHoLWyrGdf
6XHeW+DaHAlGQfTcCg1sIxB+iGLTID5LiGQJNwMpqz42iGcdRLTA1Q+6UNXWan9MCas0kdvWZbUh
ndNCmOrcxUKROyfpBSNIJLyIdVtEuxxFBcst3umSftMKXa8qFL7aTPiV0PyGQv3bIQOehB7YEMpg
H4kwk+MGKUfy1CEeHhAR81vQ5czxgXAA240IjR0Ex3qhuQMCZBMhMpvsGYPGVSgUyp0wKOv9MUS6
XICeDMb4Puw5QmaIm9OehCs1vTaF6hkX1z0hvHd4SO9Nv1sVyKPt2SBvrH4yhW66bp21pDWPBV8e
qvwIEHd+gc29BIXMuNXwtGQ8lEMMo6kK8LNNsJDbN6W2hbUC6TZPwQqa1mPgi4DLpo1XEqWgVVY/
JmTfNvhhHRl4V8uPErLwxiIsNEEo3iMYl4302ywE5EJJHiIpT+I6WStCZa5L1k2I7JyzOPrzCOKu
nEHZU9DTSUKlbs+WccQfkO+iyJw9qWQah746RtwO1AXNsFqjshPK9zkermWk8FKHJl4V6nijgsWF
a+ZqFMr5TmjoyRAQrG2twXuDwh42ib8cEN0HLaKcCBm+LPT4eJntb/Bj+mX4Jtfv36T72ZuMP5sk
WjrkX0WnUej8K8oMjyYAu1tSBm790w9QhJ6OQZ3WjyQv2xkIdC4cBAXJ8bTHO3lPd35hh5O6aKt6
33LkLvUSgxL2x4WiCSSVWjUbDCjxEkXHgZAgNuGkzNfKbJBFMjsQOVS2TD0tl0VbFaBBo/RsYbJk
yCc1lzPTb6zqzAfn6a72tWcrqTasb/ThFQZ7CorfKZUOPh0b0dcxMAIYdMfTAueMQU4G1hQ/ve+S
/GroiVgFUXvWIxt7A/Fjse5pltJ5RZnvrcpiQVT40NZwmXdkD5X0xVijdkHlbxDpLGOSS0tkxlBR
16ERHuVUvk9oKWF+3w3wadf5mIB08w2wiK1LeqK5V1oM+74eWd/wnKsuAKAmYugxZDeJkg2rniw7
DfK6q82VjTlxxngQRfVxtpOTpmLccppLpSKTMW2wa2RMDuaBKHXF2qoABZaBZtbbdOpvTam8ydSM
WhdwpNfUXbichjZzWHO63SCbxVOutwQaRtIPglWIeOkAr/F25GOXpn4utJSzwZRYPZ6HsF/ntPHW
LP3hvV/xDmqX3uSky4CelZ1dB1ZsR3QMMfEGwEwMvYAykRnqhXVjVAWtID3GupOB1/Em3ScZPalu
TB9ZWG7MD7Ofo9rpCOkwOszv1oC7HzfIupT7fA2SpnAZMeFI7Y3uoWb6vhrtKZrdlNk9u1LYbnT6
bItkgD5mZ7U3ZcWj2ZOeONBXsiaw3cVZnqxdUk23chgv+wjBVlGGt12q3iCbcvbjNPbbQiLBsfDT
idNMPCxKWX5EL6V5+KKqh84sFa8sgPAyZk+urKiD8+JrDyppbteAE8aV3SGejBlrfXFKZKT5/lT6
hlcDYcER2gJTgQ36181ZzTK0g0Gcn1oR+jzOW4ND1FA3q8+rAPX378PRlwOdxmP/sQhorTlLGDae
sjQ9kolwy6p0YWfZE8slvt3J4QeY0k0/lqvUTjaNGsLvUxegYvasVAeDIJzYSS6h7V+ZlbzUUG50
IKrwJL4WHZb8iUdAn+2TKQeUa3/Vdb8pYH77ybGAW4quGxqSyV+vkJF1RQQbIT8NgKqC6Ua4nMPi
5/D9+/h/gtfiN2/ygV+GptyxfloksK4jsrA+/A74f8opS7r+VAYQqIlN2GK80hGCVewbfQ8WSuof
JARyl7nDPejI28GGDVNM5BL5mnw5xxnnqLm77ELNuc7Zlbqi50iJHZEMVrZyGPwCan2KpGjHAZ9r
rvLcmBlOhgk+0pWhpM9Jm5LQQ57kTLS93yjmMkyjZJm02ncJ6TJwRqQ0WmXCOnQUt6iA+4Y16aVB
SWkTmltYhK+Rbj1zsqJViI5ttNLjNFuMEa1J2sjKEB+h+GWLeQQHFij0i0OHRosSBXd+p2Q31YDh
zlGCg5GVHCLNErSEMiDDYYtTSOyhK5MsS1k9g6FDjoTEhvU+Pfjyc6evOsPasi4+2hI6PGtQNhPs
kVSrQ2jKqP1KIiA0/GWzTukx8phB7WGmg2FtU7cIMzJl3GFDf04iNfxOz2Itm7RcUa0d1QK1itZU
q0iDMkUcw1VmmunJgVerIP3aV1Zz/Pyeo5f/8bnkfhDcGG4HMSITooL3RTPcyiLn/7UnOmDPmtPQ
Qy779GRKTFRYT5+CRrBAmtBVzNGzozd0W3rkqkC6IqpyA43xSL7TYpjVo1HYD+CgQpAeRrXqOlnf
ZobaAVrDRUnyrb2UCz3bMD0uvUGJKo8GNfUIC5GMThLcVXVNUvboKmGDa3CgNY2JnmjSamVm8/e6
MJ8d1QBsqaA6qzP11lQnamdMwVqreChlmckbUkI/2XyAP74dfPXFtMZkUQ4sA066MfPxxndgeaAD
qgrt2gQSPI8AiSf1Gt3SMYnD6yoyrjLLWZtT+2Anib6gbpSXZtVRC5L3Tv+ud22Bq9ZI9pVpHHnQ
tp8l7gmYNNqjokkPSkhkWtXO2hKZ0KqfJUK2xmKp6PVahnjq5D2QTYYsYY+ykq6ybQ97Cy7boPQN
2zxtnbS90YSe3h63DYQCbZC/V+ADcstcwnljhpUj00vOZBEdrNxcDYXuhVaElDa3XNWJLpMSt+1k
z8uCMF0zJUOppKApzIBzCQ9jLzmXQ9X+IHvJhzxNI78DT9V2iWsSTaai51AU82A22jrSoF7bSpAt
CXPHdEiFmnToCsCMJcpwXxQt+YnRBYJFbL/FSk2kfcYuHg7BxlbSRxyOqwqOq7PVaegp7JqpP6xa
tnfyo0qvA6fipYm0jgd7P8eILRzMGIOCAbghEIshg7KKGYvC6rqAyroJ8hYiTXXIbYOqF9nhOS2H
cjOl1k4Phn35Fvcs6OPAuRmJyhCQS9pfDaeE1HRjjXTzjpaJP1yYxtJKSBizT9m4MqdVwZDL6u9p
0jBXkI8Mgevl6OuHOBwaZMu+v+/U3nIb0JCuBT98PfRws6gbNkTCNt5kYvzrqUKsAi6bhami92vl
i63tiydV+zDCVkNnAnGedHRR6Sk2xwz1xtgLZ805qY+AZ3/6Hf7rVvGraP7nTvFuZRDy/Pcrgxqi
3ckzVoaieCULrB+vCNrLgwcGgp8vQqK3/mttwBoE0lNXsQ5YDJfFzviufzw05HHFcj+SMzaR7xyN
SHF9VSADi21YSNxzY79HbQefA/bn0a5A3iDGRq0Tg2sf+LsuJusfcLAux1zDEq91d+jyzoVsXaeU
b5x63LZRr0fcn17eBisYgU95rN9LYVpeBR2eZoMAkHVmdMJ0vKCwWE4wCnHI++u81ax7LJnX5Uyy
r2bsOg1ynqYiNpq2RumchyTY12zblkR+jJrzMEnIHW13LJX7rKyXUepv4WEyFYXg2xrZ8yxPhpsO
wWNFCve9GviImBot+OKq/tpv+fnzvb+owmP47qImJib5GsHkyR6fwvnbZP808v3X2+Orv/9h45Cl
lBo5SCbCoa5JAMSjdfvFbfH5XWF+uP8wMSB4VIPpZKgXkY4KtF3K4fRzlPZfv8V/Oi3FrWcjp4MJ
IVQqv16l0Wpwoep8C0d11fZ7O2TUJLfRaH3xawgQ7rt7/K39pWHAU9hqsehRmf76RlMcgVufS/VE
GfOdTc27SVe+BwdwEbn3i3xxvzXd/vDtKnLDu3H5jG32G090s9G2n19VVXhH/x5A/cdj/fZB390X
Th9hEQlYRtpV78kucQfX3Tq7ROu6FNzslbLmOq8UF3DFIlw6DNqX+in//vmnMH73Kd7fnWLxefcp
Ur9JbbXmuj+MW3VpLdqVc2EtGFktQm99b7gH08vWzglfzCa/NjY3CAjX44Z1bzGvC5ioHq0zz/Gk
Q7fJ1805pHG/CLy7YtGdZHdaG1tnW+yHTX2bra4//+gfp11vFfT7j/6hgpbUJkpLKeK+XABuWDWv
5aq8UTyAl57vhV60zFfZrlhffD8su63hcmCPd4zTd/EJoL7rL9Hfv/ju3eefSv21+fkfj/tHfHXE
mLm2TD5VuHUWoTtv0Brf5IxWmLEvID0saheJy9o+VRv1iUba8vP3F7fvx7vq/XP0YbVhqZGmpoT9
Is/F0hqG/Swlp76Tiy82JbGqfPY+H1YdG2Rp38/pdKKmXvTDd3ncDOa3SVtWQPqkcvX5t/r9GvfX
6vDxMClhmteMKu7Qeyec/K7K4PL/7w0+nPm0kShXM+MAlRh7NaYP6Hw1Df7ih3kTxr170KSstHNr
4kEryhPSy1Wpki1mf/GrfHWdPixujZI2cW/F7WkUv8qcErMTu59fqa++x4cbrCN0pENhMZ2GfnQj
80QSocsM+PM3+eLusj6sSqYfSBPNOXaD0XR1J18maQuysnOtqXHjQT31oOk/f8vffi/jTTqJCdER
45f3C6GNlNEvo7Y76dmPOl4lWkiTb/35e/z253n3Hh8empRwAakK9fFE2Bv9+8ss+6Kr8NUbfFgS
5yQbtbio+pPMog02JNHSLy7T2/742YMvNpR393EYMfTxU+5jzgYLxOO7fpMcOSK4u9oNlyAMFtlP
xe9/LQ0EC+zTtUZ863dvic9aU1o1ZI96oDGcs6oeA957MTwD+dn2iwtyLfgfC2OZubAuL6XFVbsU
u/rFY3Wh7Ti1k6WynNrFJnfD9Vcf77cb+fsl9+OdE9WDjN2qPSlnsZFLC8B3+jZX3EWy1r37fLEj
K2L/A+ITRsvbaY+Y6ovVSxXL02c/yoffvZcaM6yciVrC673Zw9aimgtnn3pXzsk8aOvOe1RX/iKn
Y7tCCbnGEPfFCv3VR7A+nIqksZP0fCjbE3F9i9Gjsxm/GCvyJPbd67gpl9nBWktr6UfwqLn4BM/E
971+/nS9Hbw+uQrWh/sk6bVMb3JuzXo1rqqFsohEVbdN3Jt+O263SAcX84mw4Ht5VXjZqlxbF/h2
vW4Zbon1fEq/WCnfDmb/8Xn+ftyFUfv9fWtLDrOhnCWlWuprc22m3rgCTHaI9srie7AlSMi1t+WG
pt5hdK3bpU11kC/bdbK6jjxRJPxPcfDv6F7ngfirxes9M6h/zXFcTKfn7PX//m8cP/yLi3fiPwVr
4pV/zu3f9PFA+fDOM6AH1PeLYE1TLIB6IIIoQyxe9efc3iLqmHhh+rmGkKuJ1etPwZr5ByowrPWW
8OdwIv5HgjU6aL885fwl2KR4jggRAhYjPsqv95PjwxkObLs852iJoYWaNXPZVAUbn99HtUbaQFwr
sGNqhloJuPHZaLeVofzoCxkFWJYNu0GYfrOQzn8rd5ugCJY0Uphl1ki8ipzmkwjJiq342+DXhP5i
1UE0hYc8JTBhaYFoo7SbnAsm67dGbdcIsbSJ1J75QGFzi+wXHHx078faTZZF+dlSfMktRmVYdIQ0
LGUYcrssZeCjE2yXOM6lndClQan5qkh1twpI3LnJK2eDoHAfl+O0ksd8CSH4qlLw2hUlOGKpOvXC
Yq9Xa0NuyPQwSICHGk02ASqtqTg2hkWkR6utE9kJCcRovk9IqtG/Bf3SIkTV1SKf/IPqWncmzNlo
TR29XjR1HW0xWj4pSmi5wzhQYIiUuZmndGRqRgjYJiwixRvpunlpzZGHDroPAXtjSAqXpov6fRrN
BOoZwYk0851jA7GPU+gmrfQSxylq2IqReVBE62EeIrfyGXdKPX1NJSQaoiOHp0uBmgQ5nedWYeYl
WF+tdoUE/KpoXlS7+GHx57qJSxZVJB6ESvMcdrnuNr7FvM9qvbjQVFpuMQIEU10AXclQDemwC6Zm
YxfOFWac4qLKlGM1xuNSpsHODFdETnAPr4Gm3uh07t2kdzxbMm7LfHJ2VR+j/6dtb1b+SRYaLNtP
Vn6U7puivRh8BGcpMWgDhm4wIp5iRPeO3uhMKQl/8pss9Jy0Ws0RrqVqekA0vtLz/kkfpnKbaf1V
39CxVubhlXceyftLX3urUs55gcm5UibUFCQj+El4dOCxHHqt/qbUPofUWlGRTKNVDKXMWlYWjJXl
lDcEucyMAtE2oi0uT0EvWbtSKB/HNxGk9SaI1EqourAzX5CFDbve0MhKtlZ1OW4E02QytMHT/PrR
0YfQZayPdLHkLWg0I3/f1AMFaGdwie3AX0tZON9qZaEsdBVziFZa13Zl7ltlek3DKvHAYF2lfhjs
zblfzhkJxCFWCgcgOV2hWXTzX+K5dPAZWC+jheNZs+cGkI/TeIXSXDKo5hLXR6zDtgckrtwVVu1C
kJAWVQKPEjotd7jdLUgq4BVjjw93CCZatf6PtPQvGLh2BCC0Mjr5rnDNjihPPLr7Ss3l5cy0YxN0
aASQCFh+vhtiFccx4o+YjENhnW8BZUjIZYbaeJVlP7kpZL1ERmEDpVPSECHM26L87+4kWCuf7E7R
a/1bRRmv+mtnEmFMisbUCD/qT3vWX4oy5Q82BpxbtLJ0FT7k3zsT8Ba2LPIA8LAI1jV/8M+diZwm
R3BYxHQW7BiQqn+gKEO59nFnQkxGv9hiY0Ja5nxsic9YqkO1iIgVsBkC+tkMWFZ5KoIXINOzgWmj
JoI7Elnc0eCoh6Hk32sSf0wCuzsC0VCRXKUEeRPq7hIkOq6bJHzIa2MNOvtKy+1jKTLAG+tRMXX0
K4SDz4SEt4bVgDFFcKkGHVk9+U0sEsU7R07dqlJaT47KR1DPnmmoe4PQx4w48jlkxSGeXNUlsLYE
lodGvuSYbLnJHG0aROGLmHBzJbA2g0g7ZzIkFMOPMRkfM3HoDrHoqPWyRUJQujTk91Xd3SG0gNFI
lHrtSKuZaPXIQVLLN1uXTty5ECwY2bXmAuM8wxWi2VvMQOC8beEzX1uEt9dNT+oOce7VoI6EZE/W
du7Ieh98fR/LKfzBQdqQ38J+QTcZPBXoVJ2W3VtkvHk1lJBp2qy+TQmVT0W6vFnZu4C4eTkz9mQ7
YHCVx2MgEumHAOmaQUh920sx4W7dXie+Ht8roE0C7SflBWrrU+B3t5NtDIx+iR6Y7QGhGcPQtNJA
zOivmsVeADXv9g0FNsh6jzfOX7UNlnWiuUx2+wmKwrRmqLYsyYzoGq5ZEKQ6yMEgZjSbxGAATu3Y
El/oW3Gxbg002NBLI4aBeim328K2g2VrOROikBboZlXINfqZtyTh5i1VOO2rYRu3htp65lvu8PiW
QUwIASPzVA9xO6MKLkXuUlexOxBhnId1hdSCpVAjzElgFvmvAQop0ccowXTXSaofogijzxR7DF5m
7CNYSwIDmcZckkilWScpVG23VUv+hkwWkBQ+pAQv5yKBuR/7a3YKEo5FOrNeGS8xcc3qNL7OLarc
niDnwNS5FYh2ZtQyERSt7muR+kzikbbEFUyyl0iEdpKNHtaPdmK0K03S06VBfPTU4vEtdejApjW8
ILpGOJwOI3dOSw6GSKCWY7Ko00A6BeRpeDkh1Tm2K53caoP8ahWsLPXa3szzdVyUl70GxCIkV6jU
mfiZZGCD0V1giKbGks17X9i2Df7FZsgYzNVlRI72pEvNYWgec8PAJDhJxR663Bx5/KkRkEPiSSjj
2UBwxUkhsqJ6JBNs4BcHFHzVTUWwTcJwP5v5CacSnKISNAl+4RTzlLzC7Vl//3dfeXPp6PTePtlX
ivQ5/41FR7zqr30FRzAiIPL4kLl82FfUP7h3aXvBEiORURyG/jzx2JAMHEUgBzmEYDVmy/lzX7H/
IPkdXBi8AiAI/1CpDLL9474CSIFNCoOQSpoNwMBfTzw6BKRa79TpbLdBfWHFIHcipbQeilRXd9OQ
JI+T0loru+3lIzWlT8+zD6lC+/nOcob2OpSLFAa2Eu1Z3vylJbU1FksAIXYln9I0dI69pvgHw4CY
gsud1/c4mbxuJidPLigJYUftRpXkqqZFF4YiJcGYJ/Ps5IPvyRPU2LpsxqcsDIMd9pAZgWYbe9RX
xJxyUgOiPd05auWGIujFz6wdyHGbrBlp2OdghpZ1MTA8bh2fvEH5jF+IwUkEdcYxK5KzIwMToRAM
OFrLGCieWwRScfxaTsqgX7Y5iNd5DoTZ9jEcAx+3be9GSbmLgbi4Y5wnW3V2SLtj974IlOBBTqZd
1Gn1Si/zS6NAVhXJrbRuzWAm/qrTdmEoW8tUS/cKspMt3hjHw/ivr5M015e9qvqoc9inIiNAVZyV
GG+K/nKuYwJF04bELYncNckAD5DgnFQD5xRrqFb6iasjdUT/REOpeVmkKOcGqbU3WUO5rcJm16nx
E1v9uMjIShUOnniJxoiw9WpuXYgR4VIalNpLpURe+aayiXVpMUl14I5Gv87axBdOxPK5L4L4CCTm
FbM0Pkk4S5zHqJ0H4Dq4ga5Nzbok5VFjjj2u1T69U99S5nSHqDpO0ue+Ui4K1b6Tg8ZC9xRtSwmc
vdqSl10hyMJ+yrIGrQbTYUD6oVG6Vp7tG015NYyiQ740XEMAizmCE0mZyJBuskw+W4GzybNi3WvG
IR6dI7j8dahgzZnTgGh737xgp1nNQXTO5qhdmC1pjTrSs9mYjgbm3TKRbqnxiFEa9T1bFP+n858y
tf6mDaCKndD+PlqI5o3ptnLYq0fiHNEjNkgzcqTLpyrhkOeqmgmjzBasZs2A4A2h6eBADuOpIKX9
oJCm0SHASYtd6fiaZ5E0fghMNdr+uxj/XIxp+362GHNmff5N+4lX/bUYq6RTiCqaIp98aAGO/avI
11hyNfpSUF71NwjDu8WYI4FOoARyRQKh3ttGWIyp7vlb1KMEW5j/KHEa6MMvi7HwM2JncXTVljlS
2LhHfl2Mk7xEOC7H8ll9u4EMcS8Bkuq+13G37HXCpOTMTzaS3+Y45Jw7v+2J4wMn5hmG9a3N0msL
mPICc4rXta2MFzn6ht572/TVIZHIna4NoijAHZGI17dMYJSnwRqDdaMOzT6rqm3VY3Oeo7PWStuM
tRt/70KpG1xQfly5/TTjFWzsTR4R4kj6lqW1XjuYhVtI8wV+eF8ofK9UrYWZYEmUQTkoB0nhUZFu
pBB0vQ93bQEqDw67uU/jhzSanoYA13RsxFdNjSClrhqXpIJ9Jlf0yeZ8PRWFepRL/Rziml/ICugb
7JV93u3txn8pnWEfqeaTCuvtUh+xbAe5DwurRQupSo8crJeUcMozjatpMSS2Nzf1XaTKL4GFOoy1
sgI2mN6OlvTSCVpMkTqbJLGPUxqES4Xv4MvJMZrL5yZG7Nz7SbQcOAW4oVqRF2H4NK9wqNd2dsve
eEYy9wQknoOHpR5Gu1q3egKSAE43mkBlZRMMSv1/TlR0l8Ywb7pBYYQ/4/EwnVU3GMcBWJXc2vAN
7PgSNLnu9vl4sJuZatBG/+OXD1FIUiYhZxTrTnJXNRNoxqR9MOZhP7DCQK/PfhR2fVQVLSBpkV5Z
SJWetya2gg65W6tuGp/is6mCGzWtt3IJ9dG2yJcczK5cAul9yQPrOvCndZcMI1jHbDcV6pvJ85Us
JFFW4mpt7/m3TV7QFNR7214WKsaSMG4v8iZOD86Y3ZiHQkn+H3vntdvGtqXrV1k492VUDhengWaW
RCpZsmzfFCiJrpxzPf35poKXbdHuvTYFNA+w2Te9l+0iOTnTGOMf3w+uzKLJnsvNzNdcf2Y11Tdi
xFVolUuTU2daN6W34C9ulKaY5xnSdzmCq0a95aPSlktcjr7og7J0PDbl3DbOaJZ0pnWGDDBNk6sm
9IcFaIWFXlOK5XCeDz5yfx1eJ8FmSVAbI3JOhOxo0Jaql51Fhr6IHXohIy4ketSdhj6SKb+kpAHl
h7bHs5qkLrSJwBoeGnxy73wq4wCHHQxIzCy1rtWcNjIPUnwiXclEzdfIMrnDK30AcUReRBJgsUZ1
v0Vev3MNR0bZHE9TGfSZlfafKrO8r6OmmORZdsW5tZT86Eoh8WrbGJkjX5/lPeRjzWpn+JuXCxtV
GnpcnS+H+4hFYkrrwxXaO33uu7gPOrE1TsO2IvrE0bIGc6KZw7Y3sd7o+6+4YM5lZ7jlh0YbFkon
QyCt0wIiWiSdpPQ8mfgwe2FMv4i7CmnmiuwUcwEbuqo+4rBc3ylFiRsEwlMV+WCb2IKfiKw0KODH
Raow91129NbCleQH+VTjVT70zYK+12mbNCeBBHM1Si0U/tXMD5zPSYj2sSp93ChwQse5wFn0iQlR
IUpXDjdGrXYeKnpQ5ZpOht4CsMIFCUbFBt3mCVZUOR0Jcnmmdh2/LS1NUrNqqvKhKdsLMpmzKtRv
5MDDc2Eo12NkmfReYegZsQplbEWKXnEWSiR/NBp3R0MGs7PFXw/0M/iTdkVGAuhkQWOxlly68gj7
BthBGJCUt7GS9/Vm01npWS9RIU3ASuqejRi6mdAouyJNTHZcXjpWcxmY7Z2s5ieujuKy5b4XhTH7
X59KKKazaw2V/TQYywtdJpL3wpXARuRBe+6a400hcgRqfeWqzWlZABgsSL70BOjjqC5Ms5xrknKS
ZVU7q+CtsgtrC8eoz3AqXNgpKQKH1GGRy/fIjmjlUZuvGrSWKZaP2gktdpeKQIZ43hW4yrVjY6Q8
jjBIzbE7lc1oamVkZGkaIo8jBQIrYzRLECiXWiwtohhiqGN/09QR04QcSApmfqUtLaBQpdMOUtlQ
55e1Zd/2AZ1TiQEHpk8MZ96Havw50tyBvrr2W1g1eAXJQBVT0grZ2ncqYlf8c5pRnak0DRse/R+N
kp/7PSXGcLyNFBWZfRt9YgeeV6lxVUouHYKy80Uyy7u+6M+6xM8nVZMAHsxJGij+mQquw+8hYNJo
rNc127g+nLgFeWG6i4tBBwZcRZ/aWOpIIUupspDGupvavT2P5eBENbhh5l0yzjAbf9TRWM6GFtxm
VSpbZxwvlJIePa4L3sxDttuXYwgkpvhm1dxJnZpafWCxXQ49NuZZcJeF6iWI5Wv6ozvgsFgm+9UD
+UYKRM6pJQ0XlQmvDHTptKSJiS7l9LYfpE95n93EAbmILtVmeQyIxwal0EYw1mjKoCGbe37chM1V
CR1zblDNWOmpzPUZe95+miha6/8PKgFVxIJ/V1upjlkIBy0MibDxwgHV+qU6Buhd0Qfg5BfKx2Ty
2Vi0l8WUFqGps725rjbYk8yzab0K1saSHsdVtvBPDcg7G/9Z4/GfLLbgV/zhgltvSS/FIPX2XHL5
l98vufIHrrEWuj3VfHFH+H7JxV1XlFZ129AEH/GHGqu4ydIkAzsRFCxkEP7oNeMAFIRbMxki4Y1k
qeY/qrGCY/x1FtkyfHSEqMwWQn1ZaFF+0JpgCKNFZR9nFw13tnGD6YERniu6HKrzmivsJWdLW09x
3To3QJvC7HzQMbGdl2py0yox8aaSrAu1/AIU4TSu0usgCWa1pGKHFbob2zA2rJxomlrd0tNab1ZW
0dqXu7sxTHeQvPpJ1qoVZtxmdmV4OEImQDV8mlEaejywhqdrMq7DTY2yuacmPSu1NlXuVayZ+rbz
4gWdxbZyQlRQBqf4StXeMlIkKk1y60CxTXItRIEoyRxUoqHNCqxkWVh4d8e06d1obk0h0U26sKFP
GWvcdRkG1Zewc9NZg7ZCXbRNG45cisIzq4LCPUV5XHX47RrSzHmiZnGYAistnmhayRNZi+TkfQOg
ctLF6Z0l8Fs1nr/2E5ALMlfugqS0BKwrtMF2kf/YkF8ppmpV6xPufvNidJG/QvvK3PZWhf4lleNJ
DQ2stZJp2nYnlOhm2KWv+864cFpzmNhwxMpYvR6qYAtj9gycmAT2vNnQcgAKCAaZLW5hpaNct410
YkIpg6JxbgtjLK2cJFK3UoKa+2aywv9u7Tm0sEE7a7LyXoZ+5gB0UqGhRQBpfehoruJdmD4NI0Wc
f4zhp1lpMItzedkZ1XVZ2/T7kaKGt5Zw3svw1xy7orURIBvgJBW3h2+pgms9xDYNclsnCG459K+s
2riQ3Zyo/oLNOjdTe5ZDfqPP63zMkgsbIhwl6PMUnEwFKW7ssk0LOQ469Tm/5TQPu4UDWS50s/MK
0tyoGQuCrlMimSUduF9VI1xQkdjkWn3vZbTNip/es5wbvVQAwStLEOlr2mBqUU2BSefPhiI8L00V
HB8JpVG6NaDixeSa6dnNSFEkJxUNIshCYZMXO2rAxAbxHWHMbSb71zW8PTc31rgzLnBDP5fDNsaV
RFl3EPpw5KynDsy+CHafC8MPPQXkeQBwsP2w7D3rYP1lFTIE3N12paXS/9BflwIL6HqtcQXVYxmY
HchAVweOqSYXZUx7D3cgyIKBmuFFQQoKnUJfXMimse4UplTj6Ccx5edpYXakWCrncfAQzfYJBVON
G6R31Re1OevJ4bf49820ovhahwPTTzMBDrtLorlhIWnu17GMN53T+ws7aW5gf3IH0oh69BquWDbC
gSNwnqBMsqaSD7ogb6UU4JiycXX9Wi8JO8HC1JOw5xfHhPgyzKVlpSfIvcMM3H4kYXlihQsuh5s6
bJaRSwKfq7FMvDRndvBrqWQInaa6LIDWTFO9OlM1InN/qACyBBd0da21QlpCjp4nZnGeq2ow6Yrk
IdcTfoxRglBSdbPQHRis2rwyYvskq0Nthh0jVJ7IjSbuCB5Roo6VyVT1Vd8A9BPka1qoG4gxmOqp
2efa0unWUxPKQMl43gj0XRQ8mhqRoGSrKzeno7YPfHxhwvbaTNVP2EyeSpzAttTEC3iLOdKRboOa
ihqJzg6ACWA+dfK0mamF20y6gO6zsBnWGWKQiakFF1FU3LZmAzTQ728802C+Q4hIJbCPWH25MUOD
TgXoQBnecpFOp04gYLCG1K1HmpHPfIM75X+SW8/JLY7JP5z97By7cs+5z7/6fu5zuCu6Qmro+Wzn
dvbDue+QbaL9Q7QlqyLv9FppoEwNOkNAlilAPBG/vp/79gfKC6YsAxFVxI3iHyW3yGH9eu7T70Tn
Pak01C5cI3+5PbZqqtaF5AwXnFrVgqaadF7pchUhoQUMSgU17I1J0RoSiSM3zTdd13yktLo07AjU
AP4Pk8CXjXWf9gV0OxUWRaWf6vjQTuNBqxaqUqPEpC931bdFfqXqYBjgTNClN3jGkvTNZ2eENiQZ
8kNa6EAG/PEqCSBquB2WoBKdoBPNw3/MjttpmrUyViFWNA2yjmK2TUK7QQ0zTRP1KtKk+KRNoB4l
QL3k0jdWktX3E0NzqxOFhkU2aDM1pkEeXeuKveui4iNgvHWegDksZVPCGEXqTz0HsP9YO/mF3JC/
UtVrh4h94pIK4drUzXQVrmOfxlhDOBtZZ2g0NZ70XnslR+OnpMlvqZOfBX71FdzSMswTPuzYQfm3
w7VuALMX+aQxtx9HBwTDMETF1Fbbs8HKsilAr2KK10ICj6tfOOAqI18DlGlnJK0rijjFJlXzzyF+
JRNLy10sqJNy3hnD/Rio55TH+R/gOAPfi6mGaoV9WWk29XKpEeGlz/u5Ms2jBbQsW8H+NM/gEPQL
2emWqlyfNSIKL8fdaNtELlZ7lvZGOcUR155UFZtk2lT5VE9oCi9tmh4dj924U/W7vIk3jUTlttDz
edurMCSHnUunKASceqq6noBOf2ssL5tZEUasWN0g4pPreGPH6qVbDubEotN9lYf5lV+OW7uo3IkC
e5/iUcaVRq9wUjWzk1atP4VhdtXIiUw5giKMHVM+KBZGnLDta+myUUxMvLw7bHEx20iqM6/Ei6KV
EvggJtPVrlBIAS2oZ9Yw4koQp8RGCS0/mWiBCwrnE8ZPGHx4BWxK88ztbKrpGCjMqNBvKXrhM9hm
W6vXymnVS8Gsktxx5dZkvbo6ol3b07lrqg1OuMqYz3rdoym19j5arsWcQqO2UpNkU1OAmDapOMT7
USLtK9pFdf2MqPfKVPwvKXr8Sdon9hy/yXViqivc1tnbPeeiT6uKWhD+E5bPbdeDqQVOoSZpCeqS
7r6LDMv0MqNkRonwgSj0Lky0+3yAzqM3/Ywu2h2bFIRcUjEwL8/bzpDnoY2e0a3Sdu0M1aWWa4+h
KIlXub/S4uG+C53zXk0/Bmkckj4Yv8QFKeyKE4wkWBguco/ySe0CpMkKKGZYvZNL2oUjpJ9BdZdj
g/EAsC8T2rZI7HjBx8z3OhZ1EM+lPLpLu+xOKX2cDFt9W8rh1xSPCn5+GnvzDN+eIMMAPrM/haV0
Bt3kFONIGY2FMTf9/NTNDAixWYMcEvej0JG+QFJfoqlYZyUOSZ1VoW/2rM/1yFUh8jRn1ea4m1eJ
k6w6dKQ0mDv6hRpl2GEWxhg8/udYfDoWDUogvz8Wb5osbpJ09/ZgFP/u9WAEFsbRp1Bm5/SxnzzJ
vx+MwMKAzJgWMbGJpyCx6OvBaH/QRT1IVtQnwy5B3/g7IKaHEoCmw4npOP9Q2mX+Ijp+qvpwxmqE
QY6ui2P454BYaQ1SyYiHL0bDP0VKQEI94yoXpbMxDbNFa5j6JHTjjZ7H0QIHhJXcKMsgry98gisW
ywzG7FWK9XKjKaddlW+jRv9C1yEs/nrTjwoBlr4afSEIkrJh6lveF0CRV/R6R3MzSbbUtWgB8sEj
uXGTT0elizk0Y3USR3Az7KRO7zLNP2tYHOuUzKjti7R+5siTkQJJ6UT3pmQsNFfB1yi7wIqA5JkT
fqbHH+FOig2KAaJYbZBr0UgfXDRm9mhmWUi04NcgjS0T56dIOTEGe13X8Cbc5EZDzEMGelPpjshk
3uCilKH19ZaZ2ZyZxoiWujUvjMw6jWussx3fuNUgCOFz+LXzzUXVli2UcYkGFse+RGrDPR22dxed
hx0bCT39KEyRCOPJgNCylO6chNtCxlYqG+Gao6GfCB0SAqH6BGpgQbZ3VBa+6SQLKXS+9lZyabTN
Wm/s7DwvrhA9LRIqQ4OlXICEWTRaj4kZadsQnKZG0lBT/GkQS59b3b0zdXlhNtCZHDZFNr7kPhiQ
1pEyoKMD/LPSh+dDy9AVUXMl9y5px8hMPhX6CSJjuwaBRc1dK6z23JNBrVMSogJvdtOhaT/6KPD4
/4NFQG57Vhfpp4aP4SJhmEYBbAa9y5ZGIDM2NqwReTgrWn6HMJRANMh2PMsGm0aaQbsObFpKO/cR
8ib1QtO80TPzWkIiOZVqc+0kmJs3BkAUP8eaCj+ja4lSmBHWOghTSm99Ed7YbvqAVHGWuskVevjH
MC0/eQ6ZbsB93dTjS61yV+kQcbl0ZWS9NyUxtdB0Ib62KCRmAR18QTMb2UGNMaI0QxuUqsVzkFQD
XeTNjlxPPtNNan6ylX/OsmTuUEhZ+wajXcRVMEW+i3irVwBCVojtJaJeIBgDVQ/FyTdI1W+LMbp2
88aekn7CRCugVhn0tg1UFL+5uMQoGIYmblYRFY3qc2Baa1C012kL68kKsLSQlHFcJmlI2tYtyQcM
KTNTU7/mafHRbvnhjc6bDWQR5MZ9dFtJmWmtAYfdvm46d9VpCO0V1z2xIgn0A5N+Qh/EoucOOi1x
b0PfEVUkoiGGhgWEKmkctp42VlPIl940ZkQntVSe1i14jggLv4GkiyIiUvx2l3C5k/kQXZO5UqgU
TVpv3ErRsK1b88br25soVmZNb1/CzQNn6ZHR6FRwelogfYLklML4tOb+WC/8oTVBnRXwlRRkGlRJ
oVxIw5bfdTjlxjTPcsQQ2KNqM1XSd2pfbWJZ2vRync4ho6dzrjNbovTVkNfGFBfBgZ+LY3/oLAt4
X9YINNrHxAKoU1S1snQRtQgpBZ+njdNZ1zAD+e/f1Bgl32AIkCAgLm5k0nXRyLsqYUroZhKg3LZu
87I4r2K4uhDAdnmOMkTqFlXYmxNJjfV52lkUURQ84+SxXLsK0pMU3h/uo/ZZkfKlsVprp02dftGT
GLMjiT3YC2wHkjouHvHgrVzd7FeZMmwLE8Cuw9aoR8GiAA1OkKxvxtq/qGItmRD/IL4JtI9dmHQ0
U9AVUMlLpFY3OQw8OEQfFa/AQ23kSiRn1tZDi5ObPilFPZh1AZJHQ25uJXNUpshri3kMtQxGLpM6
qtwvrTl+Kevimn5+b+XFEjdapREeBODr6uZjbivJrIz4fUHezGwNXlqH/nziJeV9WCIvZJfPfOeC
jW7pFX4Cda66Ad/+KVLru7KAXB9HzZ3ucHNV1E6ZybKKmpC+11lg+8Z08IEBZR6e0PD3T8oq/Jia
2nLMyVK5kfKli7C5dbgwG7ETTm2HKqGW0ytXqp9a86qrTkf3cxec6b52lYZknAzzU4hFXaAl/DRp
vTTT7FzN0dPksVKt5NDcKWz0c6V3LtvAZGnr1ColA78JyxwDyLAYDAZAVzKnW1d5TOpKXVl9zPYb
DPNxUD5iQHDmA6mcQHy9s2qI6XJRnxb1uchl1gYcY4/KGLRjsoqZEyzVooRKWwZ3yjAu47gM16nE
9j9K5cYZLGnRDk200Oo+nIyKpnF/tfm13GTe5d4pdkbStDJtIYHOPAhcQ8NtHOe2nR0k/qZL64mO
AVBiWHdhlnTLklpRAHJvHM4VX4aIUPE7EzOYIO0JFAJXdPdUp249UnWhiehCHvFvc8ndnrQkKinr
2jagpgFbyb5X2Y/tYs7hEWL3A/vDUDZk10/YjU5Nl6lj6+qkBGGEcZyufQqsnB2ihVqjV9LKL/Rz
VMreKvXlnTbIO3fw7jlyBIaqXw2yNEtsLM2Rh2k1nxFJVjaL+hgfnoi+UM8nsgupOLqUxjEl+gzU
s10iHQznHdqyAsQ1QuCRcqgk1AbmmSdSuPe1fKro7nXkWitJouk4KK0LLe8JOJtEmUaxfMvwc4or
8S7vw9NW9axFTiq7rMxlaBOjGJqVLtJeJsIt5ZySOQVbpeg+p3VfIvj7aOjDzIyN28QpLsmvov0a
o5NONxdQ6S7J5APopGSu1PmNlekPbK6XNZKtaewzBQKzuKZtasEGpyw7nejDUarz1Ce7Z41oH0y0
gk6YXGAGh8bY9fFDcKJhXvbI0Nn345lvjj66/Gqe9LgigOirCDLU7ViRvIi7Dk8hJNeYS51zyf1c
lvkatpc1zRJproCGAgX0haNl0XbqNZXgM1buiuqMTEuYL9xCgWQH5EUVjtpIWQdufebG2R0+a587
N+KMSK27Su03WU/HURc4Enhp0rSO4X1KBiyXFLIYY3Ba6uWm97wF4CisLgP7yjdyzmjJvG3ydjP2
/kROg/tYN06LCPBZpQ3rtrebFbJLzDp7c5Modjo1EzZCCf2EEUB1NvRVlNGDII9nTalpwLLJlppg
uMMuSS41Kuszr7ZBx3SlOmt9qifYreRT6DbIYpIUnB/UVECb5arCQpScSXhvddxh7L65tHJYTU7Z
Zktavat1UoA8LLQOMRHZA6JrhJSutHSeSizqU7mFdCulF7OWTk1RjTH97MR5KtDET8Wa8alw859w
7Dkc+6Me+ktzv0eAZ/yshpbp/KfLEwizyET+lKMkBpKBJhJ1PWUbv4dizgdTc1DtidLzL37vNlZM
Nl07/BHVRKKnf9JlgyHT2xwlcmtT1y1QcTAcf1FDx3VZy33Wyxc1+UJcR42lSbrvTAXhOnFsJUfS
S4IRrQepigj8bEbHIrwl/bTMjJRKPanJQHeMdSnSlfpT4rIzly2ZzNju8005SlQnZOwZ7QcF/Dui
mg79MR46o9mdOK69YE+WZ6DJl00FLz11BhxnO/22S8uVHvjpTeF52Ovk+YMJRywjCVgqusiVacHE
9IqHeHCiWVbp2KV23arP+37q4aGSXsmavVRCXb+UNNJNZufM6052p0knQeZRBIMwZoN0663VeA9u
YncLdaCFzcOn7sROnYTOEOm6ju340qE1ENtlEv1wAFHgDJY1cwOuaxiLgs9zB6JAnZyfoz1Wgcl2
QuGvDtj+/OhzoGo3debkMylUd3mEc7A7erclna8BYujGpFskYWdFqPEoyxwroe8DT+2vUjkUgEu2
Q+8sHJ0bJcytiTEitCtV+Sa3OHhGfoTaJw0Yuy5+cjUGdE0FxtqqPtsdYVUFJ21SGOas0+VLzDwV
KMzBVeC0ykRK4D6eDgM0ZIok32RaJmRaJ+wxOGtFL4UWVteNiWSuNwidxjKpphatFyEuxfi5xjNr
RJiJuUAD6wiT73Li1HEV0Q9aJvMgrewLR82HZYyxw4ST+QRnAwe6QrlTC7LMzmh5V1ITEUwHxoOD
rPm8GNRvMVpj/ClNRNZ+qDrnHEggdVLIkG4EzxG2VrRI4zQ/9TCtIjlLbSe2LzopwzrYJDL3hgyw
NQWjSslOm1I9z4HjkiAYCRkC2nGVJkMKY8Cj61tEhkrz1cz9T1EUNTR5Q4ZUfbIPqs+4eQxuTB6C
nCaS/wA9qJvdJ2y0VKDIv6fSlWLn30gfzAF5L5uit6dpZJZTuS61EzMuTnIzOe1rA6yedjEo0YWu
NcLnzqFWm4V3cufeGolUrfDlhFotWbdl7YHeVdS1m6tgO21CZVxnhc2NfJ0M9ancBcsiCq+DwJub
Tfylk8t7ugsynAXweBqq9twuo2ZWmh0RnZxuqB/I2MtKpxhaAwmQ3WTROENE4461pkP3wQacPavq
4S7XVJAuCoyjSiQY6hHyLZTZyB1lSq3yeRd3975IhJsiJZ6aQTHJyJJr1CocsuYm2fNQpNGhdzzU
crewSjrdJJFqRzyeIY9vwNaShh9EQj4djMdaKD4LmtEScvaFW6rUDEjjE5EBAa2+2uT3kY7eKuT7
FRDKfD46zqkEOFQESlEa4APPvLHt4HtGsOIoHzSjfF052tdBFBY83Y/x/6DYQOAnnXDfLGcplYiW
ioTeSDufCoUtShV5QqUS1SQFDFeUMkZR1Eg4gyGnN3jIc1VIqHyEMhcXm5oR5NCKNoSMAglEH1IG
NkUT7mbYoovUqyiouFQBqFagOlBlhMhUXWxRfvn/5Zx9ESsJEML8iYNw1ezK4XpXNXFdvTZ6ij+9
zICn32T/3l/684NeCAw3Qw6BYftIv/8sqOoyeKgR7zzTGU4e/+//Ufaf3E8f7OlT//E58RbKQ/PI
O2ikUXXFgOtG95F48S5xlnovfyxRRvxgcHW3aWf68Wf80yj8+Qs+D+ef/84fP/yvg6D/mk3+x4Og
yx9Q+1Ms1X43CLQYCFNbW6jnyFz/MFF+NxX+/AXffRAUWot/Sqn/40HQzA8YWZIy1w38VcTrl5lA
xt3kz5gRzy0b/8uD8ONqoNHs10r7v/L9+YJ/LwR4JIbOMao4zwuBhP1PC0F8fYV2bZbL6/Ac5UyQ
D58Jzgdg8WTj6FV8er3ZE3AoQw6PeJD6yVEOwhuwzb8yHcTX/Hs+mB8we0WhKKpB4kVU89N8wItN
hgRA5HOcewJknX9nTfw8CNYHxJw2jYP4b4sXK//XQVDZMiyhLD3KiSDOswP3ReeDgf5Gx4/ueQze
TAROSHYOhY3xWAeBiPjAQbA/wMIgeP7dILA70nMMyknQw45zJjzvVc/4vO/Xl390V0JOTa81TBDr
NzNBFaJquhAV5shxDsLzFD1sEIRunK2PH/rnvUBmCjxRTJ5P0GNdDfrhq0H/gNyNdBaXhefXL0Mh
7goOMZPCGfn0OtLpoBy+O8JqA4GgyrAtXr/qT7NCsdFpOCYio2NdE8rha0L9YOE8YegaYZl4EZH8
PAjGBwOJiAEK7+nPj3VpiA9+8EGBLEdFSPO7UApxji1ul/pxXpsEnuPQQdAR7ToytiSvd0e+6k/z
ATtDoFOcpcrze/0vh1LsAr8G1fLzr3PAQcEgWAYpd1UcmeL15u6oE2boGnfHY708agcPgoYtMyEC
aIKXQfg1qCaK4ChBwSY6qo7zyvAc7R8wEzQ05xDWsIZ6nghvMgssB25UlHqEdzWvY90e9cNPCuuD
xvUJ0tvLfNgTTDBXFMxEjjW0Fq19B54RJj0ICueh8vvrk2UDhbUFRfs4F8XhoTVhpbBkx4z518OB
KIKyo6UZR7svHp5i0vGkp8Rra5RrxevNjYl0nEOfh/B3O8oZoBwcRZB1FvVyXX87AxgdCukyiZfn
HfNYx+DwVWCJLBtGfkgEnl5v9kMVgg9qGUvk345zIhx8XdSMD7gkiATT8/Enzr+frouEkyLxgLTi
KDLve66LxsEno1gNfD+mwkvI/Oa6qH5gQzAIqY/1eqA979eH3ZTAMTjkkOTn5fBmEERkIf6P6SJe
xzoULwf3IUPBnCeetujfePqmbwuTzAfFUKB6Pd/Sjy+GEkKjw25KLAqKs1DKKKc/vX49Jrk5Y6FB
G6h5rDvDS7HwkJmgQ2pWgWa+FiZ/PSNIMam09UBye845HO2ieI+bM8kVLoYcmE8vvupPJwXzgaYj
NHOCgneUx6V68L2JmJovyBDQ9bV3EDguaYq2gHu/7KJHOhQvId4BS0PkWOCXI0t4Da1/nQ8qKktS
j0yKYx2Ew2MJIikkplyWn8/EN7EEi4I/JF8vuvJ4Hev+IISzh50XmkYihTyKbf6mVqlQ0DWw6YIJ
cKTz4aWIesCieJI0cX2yrJds/JtNUiPxaIFnFinJo9wkBY30wJkgOl2fyE4vefg3NwdqFsCidLbS
Ix2El7TwITOBbJuMJxEr/zfRJfcrCBpcHI77Oq0evklyR6I4/30k3mTjOTRV5CzIAI/25nB4Ad/8
AEINvrr8u0Wh0DmOiwB08GNdFAfHFGTjVYBvMGV+U6ykJEHeiVDbPtpBOHx7ZLYDxgd4+HKRfrM9
KqRc0LfpR6ruokx5ePLN/sB6F/eFF8njvkGAP6XwXs+vI10UwjfnwOOSkIEmJEpULyUJZtivgRVR
NiVd7VhLEsJG8cBB0D44tgww/SUN+TYPyXkq+rWUo83Ka89hziF3BmE+qArF329k0AjiMWuSSdwf
a97pZYoeMghPl0OoFiIk+WkdEEAoCOUp3LwMz7FuCYcfEZQmyEbrgmz29NqzO6oOcnnHOe6wUvBv
DtwYDG4EKvwM8tJPrzcRFWlINg0ksMd6eXyRVxyyJp7STrSQvs78N0cE9yYofGTnjzW2FpCiA2cC
OmCIf+J2+MvGwLbIH1h01x7rt3/Zrw+ZAiKI4rokIoj964CeAN0hzXS0Z8MbGvU/b4ywKDmAQjbM
3xVmuDqDghbuV0d6OOiHX51pm9PANxJE/SazQCQp5srxxg/CVvuwzYDqFIJWk+LMb3Q8IpJEBE1v
xPMReqw7w4vQ5pCdgeY5Daoc3UD7dwaRXsGFFEXT8w31+KqVb6B8/87O4NgCd4f4df/2KCD2qqKA
jTrSncE4PNGGqpVag4bD3/6d4WkmEFObL0K6f2km/At/6XuD8tQP4sen1uRgV+3rYP7dX3htWX37
5z/Ig59aLX/6m6JV+fnNn0XE4n//18+dy08Nsz/86WsD7dM7vfz7l6/49s1/erPX7/X6H1e4AG/L
B0AETw3bLx/02b/+v2Ns7B+3v4qbRWnk9b/tb7P+vi3++el5sA9SKfAjf3/Vtz3c/9rDk+1jVr4+
6O+GbxGSH/zwieBOvz7nh2eT7jv42dNtvG35SarXZ/3wfBb94c+HDVq9+UkJwFi47/DwtC63f02z
qt73Flx5D36L2S7+6zwr944/+YSDnz+P/5plJZPn9Vk/jD8By8HPX5S7ap87qtjMDn74Mt6l6etz
fvjg77FcV01yn8WP9dvHCyXnwR/9JMl3ZbCNXx/196cX7UWHPz4d9vyion3r4Eef7co9Yy4aUw5/
dJB6ezYCwSo4+NnrbbRnDxO6s3d4dFXt9o3JeyzQdVb99d+pt4t3+0bmPZboZvvIBvw6Dj9MxPdY
opttGewbmvdYouLZICD3fHQhGjr4Z93s0sfsIdi3ewnRwTs8v3zYPb4+6O9xF3Xswx+e8dlfn/PD
s99jmW6yvWPyHquUR2NxsRv2fPL3WKnn23zfbHmPdXq+a7dv746U3d5jiV6UW7aAPYPyHkv0Mt4+
7LMVEbnZg+fhJdTKfZc7UYI7+OHXAVfHKnjcMzKiunXw8z9uH0pCgrTec5YK8fY7vEH612SXBnvf
4D2W6seteIMy3ZaPezcy7T0WrXiTWbDz9o3Se6xa8fwFK+AhqB72vcd7LF/xHqfZtmj2nVbae6xh
8Q7rJqj+urgPqnzf93iPxSzeZbOtd/ue/x7rmefX278m2/J+u+/OIFgJ77EqeI9pvP8d3mdhi28B
xHB8/bh/H5ECBXT4V/C3e2NCwR47/OHkMPYO/rss5qCKgiFrXj/nDwPzLms5i7f7bg+iAHL4wHAx
+a37+1O+54D8zcf/yXnz4Df4k73XoQ+/2fnbfUMjsvoHj/sNd/yg3nNpE21ehz+9YSfYc8SLLPw7
PPyP5jGHDvsnPmCzb62KxPHBH/5LFu/Z50XV9vBH/57i/Ocx2ZeW/Q5AfJusfQUb7vtnP+eixd94
iHfb8r/+HwAAAP//</cx:binary>
              </cx:geoCache>
            </cx:geography>
          </cx:layoutPr>
          <cx:valueColors>
            <cx:minColor>
              <a:schemeClr val="accent2">
                <a:lumMod val="20000"/>
                <a:lumOff val="80000"/>
              </a:schemeClr>
            </cx:minColor>
            <cx:maxColor>
              <a:schemeClr val="accent2">
                <a:lumMod val="75000"/>
              </a:schemeClr>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51918372-9F93-4E76-A30E-5A5D69C56B63}">
          <cx:tx>
            <cx:txData>
              <cx:f>_xlchart.v5.2</cx:f>
              <cx:v>Sum of Amount</cx:v>
            </cx:txData>
          </cx:tx>
          <cx:spPr>
            <a:ln>
              <a:solidFill>
                <a:schemeClr val="accent1">
                  <a:shade val="15000"/>
                </a:schemeClr>
              </a:solidFill>
            </a:ln>
          </cx:spPr>
          <cx:dataId val="0"/>
          <cx:layoutPr>
            <cx:geography cultureLanguage="en-US" cultureRegion="US" attribution="Powered by Bing">
              <cx:geoCache provider="{E9337A44-BEBE-4D9F-B70C-5C5E7DAFC167}">
                <cx:binary>7H1pc9vG0u5fcfnzhTIbMDOnTt6qMwBI7ZItO7H8BcVIMnYM9u3Xvw1JdkSQcqgqs24d3qukKpHI
HjTwYLqfXmbm33f9v+6Sh1X5rk+TrPrXXf/7+6Cu83/99lt1Fzykq+ooDe9KXelv9dGdTn/T376F
dw+/3ZerLsz83wjC7Le7YFXWD/37//k3jOY/6HN9t6pDnX1oHsrh40PVJHX1k8+2fvRudZ+GmRNW
dRne1fj39/YqCb/pMgtX79c/I7+/dx6Sd5cadHhn6yarh/fvHrI6rIdPQ/7w+/u1kcj7d7/NL7ih
3LsE9K+bexBm+IibjHOChXz84e/fJTrznz82MGFHBDHKLQJDP132cpWC5JuUelRpdX9fPlQV3N7j
f7cNsXYv8FD+s8vDuJseyoSED6D8/v5zFtYP9+9u6lX9UL1/F1b68amVg62nO/588/iIflvH8n/+
PfsDPLTZX17APX/C//TROqL/gDYonoVVsmqqXw835UcWQ5yaFkWPPwDqOtz4CCHCKOViHe63abUd
7y1j7AD4FqlDQ3yVvbuAt1XvBXAmYH5Lar4yv8kRIQIzyfAM8Lco9QreG0PsAveG0IGh/Z90da/L
PUAtjijjFiKCzSc1OgILTyRF8nHSz5DeXaHtMM/kd8B4JnFgAN+ssnr1zi6bcQ8gW0eSM8wQtp7m
M5jpdQNOjuANEAhJa2M+v0Gr7UhvubMd0N4idWCI/ycBSnQPmP9qegb+WiAmiLDo6+abE5j2M3b2
Bo22Qz0fYAec5yIHB3IeZnug4FQcWeCeLWyy7VMaSzDfnJsmB8P+koL/J9lVo9cwXpPfCeI1if8C
hH+u4totT7wcAo5XY6s3hlYwd4nJLEviJ6+LwO2umWrA1cKccMzwE/Dfr/0UYL2MCF/XaTuyL2XX
7vHpFn/+UP7rIibV1PuIjak8MjGhDL02MQk+MgFhjMmMUe2s0Hb01sW34Lf2J0gQrAscGLrXyeru
YT98WUguMRPP85PO5ifAizijGJGn6SnX5+fuem1HeSa/hun21MdM4sBwvipXmb8P/0qPHlEW1mv+
FUiWCbGRNVnol/51d422IzyT3wHhmcSBIXyhs32kOAT4WZML6zmDKecpTPCzkOKAuY5mM3hXfbaj
uya9A7Zr3z80ZFdlmOtqPxEQJLAINwV5ylhuYVHSYlwQgPfxZ30OX7xBs1dwno+wC9ZzmQPDG/jl
qn0oV/tIUYsjLC2CCeevpKjRkSWQBGI2y3C8SantWG8OsQPYm0IHhvYf4BSbch+TG4pLAgmKKH+a
u/Ns1mS6JTAwC83KEW9QaTvS8wF2wHkucmAof2p00qR7yXDwIymIZIy9EgkTdEQFwVgQ4OAvGdhb
dNqO88YIOwC9IXNgSNsA9F58NczWyTBDKusV0w3JaZjulmTmOs67a7Qd5Zn8DhjPJA4M4ZspI7KP
mFkeYUoIeOfnlNXcYEPMbBETw0yfOefdNdqO8Ex+B4RnEoeGMJRJnfDB30dARY44NrkpyRxdzI+w
RQUW36vJ67MYCj276/QKzBtD7IL0htCBgW1raHCZ+Fc1lfB+eZFJHKGp/QeaPrazMEJg1jNhcjxj
YW/VazvmW0fZAfatcgeGvJu8c3QJDQN7gZ0TaZnkubQoITuyVp8AVgYvBORHTWtb28CbVNuO/OYQ
O8C+KXRgmC+gS24viTLriFNsmSZ+dt5zwKdCozDhHzyjZ7trtB3nmfwOIM8kDgzhZfKQZXuY0VCw
IsjEkgD5Wp/KYMGlwND4N+sT2FmT7cCui++A67rAgcF63KR/6eS+/vXIMjDFwgJavYksA0qGKYIe
kW3pz7eotB3ijRF2QHlD5sCAPknzhzJcJb8eaArcG3i3OZUdH3/mRUlsHplgwk0MnX7Tz6xk9RbN
tuO9McIOeG/IHBjenx6CVboH5g3TGnC0kPk9nJ57ZGDekOfG0GPwVP2Yob27XtuxnsnvgPRM4sBw
vglWe4mwAGdo3oLImb5W0yCQAMVIiMm+v0yA7q7RdoRn8jsgPJM4NIQhVXDehNW7q7/CKt9HVGVC
SYNYWDLowX020OtUDMpXYLqhaWhWjZ6yJ29U7RXMXxloF/BfET2wt+AkG/YBvQXNugQYOH9uNJlb
czyVNqVlCTHLo+yqz3a816R3AHnt+weG7NlDuY/Ayjyi/LER8Il0bWvlnFJokBuH5pOX9ntXfbYj
uya9A7Jr3z8wZG/CKg4H3fx6zj2tgaQYGky+N9nP5y2wMAsatE1kzcqTb9FpO8IbI+yA8obMgSF9
Bitv99FYYh3B9ITFEux5Kdwc5qkfGz6D2tZ8Eu+q0HaM1+9nB4DXBQ4M3fNVvI8mT3kEq5Qx9IC9
trCVHElsYkvwGcPeVZ/t2K5J7wDt2vcPDNmL1T20hP16+0xhzZtFIHXJn9sK5i2AUKgA0wxtgnhG
qXfXaDu6M/kd8J1JHBjC56uqetgDv4L4mMHyJyGfezzRPOsFCFvwMRPWzDTvrtF2hGfyOyA8kzgw
hKcg9FSviibcA8ywIkpCXwEj7BnnDZgxtPuBg5byaabP0l1vVG474tsG2QH2bWIHhv25rt79B5Zg
JA/7YF/sCNKchIrv7GujtwTa+GHfCcbBiT/nTV4GUm9Ubjv22wbZAfttYgeG/cVDeQebpti/vLeE
H1FkSevH6ow57GDZmcASUGfbYN9dr+2Iz+R3AHsmcWg4w8KEPVl2zsC2o+dmkg2YyZFJMbhvOUt9
TeszdlLoFXzXxHeBd03g0NB9yO71XbiX5hHo/JzSmpw/FyY3SDiF5l9uUTqtv3ppuS/eotQrKG8M
sQvSG0KHhrYGsH+9yYZ0GPTpS0iEPG8xstFMAtUsBkvbId05Q3pXhV5BeU18F4TXBA4M3ZvVXQm7
imT1PioVAuqRsOkE1KiemkZgyq4XqaZ3YPoHkt5byNjbdNuO9pYxdoB8i9SB4f4xhIV1VXi/jyQZ
hXU4yKT0uYqxWcYAtgbL7iABOkukvEmp7XhvDrED3JtCB4Y2LAqGhRoPw68345A1s7jFOUXPPQdb
gm3LtKArYb530Ft02o71xgg7QL0hc2BIX67y1R5QhqhZQk0DihaPhnozcwYdRJA4Q1DeWnfWu+qz
HeE16R3QXfv+oSH70K72svkXLKezCIflsc957y0zGEGjCTCxWU3jcmeNXkF3XX4XfNclDgzha1gY
u5e17vJIUovDEoznjvwNHoaOIOkNXJzOOvJ312g7wjP5HRCeSRwYwlN6Vz3AzsH7YNvQF2TCokgo
YT2x7XnhGRZNMkQQ9HfP5vHbtNqO9JYxdkB7i9RBIl5mq/J+PwkTaMyHtc6wVvK5Ij233rCYEtbE
I9iCat0xPz36tyj2M+A3xtkZ/A3JA3wBFrDn1F1Y3envEPyCLdWhysWh95NDl98r050cQQEMGo7o
FuR/aLQLV3wd+M1hdsR9U/DwYIdFtGpV/rXaS7MCm8CdEt2vL7KzpICmftgG4fHn+6v3tOsjzP63
qffqO7BlmN3egS2CB/kO2Ml+3gBIokAZExqRnuf/Ri0EH4FtwMDbZ6TuCfud1foZ8uuD7Iz7utih
oR4+lHuZ8rDs0kKwgY14SpZuxuDoCD4EoyC2tzXsrNcriK/L7wL2usSh4ayT1V5KYNNGg7Acfsqp
fc+Kr2fNYXsbJgHkDR6/s0avILwuvwvC6xIHh3Cm97EeD7biZlRakFB7LWf6uDWKxaDXcOa2YWvL
3TR6DeE1+Z0QXpM4MIQ/QVcAnHC0Cwl+44FHsJIa2sChVeGZfm2kXKBRGNKlQM9m3WdvUGk7xvMB
dgB5LnJoKDdAwfZR6IJWf4qmNbOvbDj3uK/gRMLMWQn7084avYLxuvwuEK9LHBjCtzrZR0YNjkzg
sMoO5ulm4Ro+4Bj2RFg30Lsqsh3WNekdQF37/qFB2vy1j0LW1F+EYV8D2Kb58WfLyWQmLN4QULCc
IbujPq8g+1J6F2Rffv//BrKvn0r345w/Z1Wv3McTAl8cTPfzTx8fDpxtOBN9buTanhV7avI6uf/9
PdQeqQnHJLw4IWMaaK0N7Hn31O/YrYs9wLr7398bsAMorLSbTqrisEAathuD0Ll7eP4IoiwuwS9D
uQvOxLEgd5bBmYjB7+8pO5Jg7DlsMCqZBdVOmPqVbh4/gqY0DJumPJbB8eNH3+/0WieDr7Mfj+X5
93dZk17rMKur39+DccmfvjVpCzcIxBA2T4JSKuyPJ4Hqw+d3q4/T6jB4Bv+nR4bflmXWXI5DbBdl
o/zKVKFI1YvnsuUyGAEHmV/IhGhyyhEhAscvToq8uBBO6rawIpZfosaUn+OgMCw75ckwHoNPM0ub
1lnDTqrKG28iEvsKrCH7MxLcv811JE5Lf5BnmKe5ynlp9tfBQD/SQbfasQafV2dtHFX0a9sXlrju
vKJtFxHWzGlZGyorNpKrLkoq7IZ5romru6RpbWH4XqTCysu+hPEgXVOMJXKq7M5MWHfJWZ5csQbl
iY3zOBkW2uupnbSNMpJKd4qHnaZXqMVmfN4m0VVZx51K86y3A3kNO6E8mFV+nxX+wqvQJ94Wx1lH
l6Zh6SVBcBdGHrqSeQuZumafnnjDUDg0TkOnKrGTDMW3QAQfx5xdYpJ/a2h7k2A/dTtWRrc81pUj
/bi5MHheXhaVaZ0mobzIZZq440gqlRkG/caiKjtmXoAus7rI3bT1ChUmhumSTlzQWl5WWdU5IxGt
44cjWdYZ/zxg40tCgsLRUWCWqq59wlVDSQCvhZe6kBAIXeiGhyFqssCxVX4uWU17xxJZ8LHyW8Nt
OC5d2aP+C0vCAZ4i0bWq4qZ0mFEOTmSOHwurFqcBTJzLn79jBObm/BWDHj5YtDyd/knhtV5/xYqh
LHy/F+Vl5aarrlT4ZrzhylCFXR9nxx5WgeO76ZK7pZsp85QtqEuOPTv+h3fdhBn9Qg8BHWZwtBEk
ymBPG4QYdAiv62H2Zdf4VaAvPeKfDknQ27FfeCrvGFGCx9ItWo8uSmKVofIEuvB56Z1iwMiKi9Qe
+HApPTQoQcavda/loiJeuoATYBeeGL9y0zNV5BmB8sb+zyLJuSJlMdi8iqjTdx5ROIhSZQa9O1C5
7HBmR95oF0x4ajTl8UixGghZwpJSrIq6hJdCMrtNs+OoZ46mrFQa5W7X+efEiwMVZyF22jxUaRpV
Dkziy66XdFn4Uawq6n/2O32MaXrR9AIpQ+RLFMOLxmXBFg2Kbn4O8boRgScLlSULOnKn9gAKS5tn
RkSOpJN56pWXqE2jJRiCBG4eZbYRBq6pQ6ZY4a9+fslpu+Z1NGfXnKFp9C0v29ivLguf3ppeafeN
r52x4scsbS504SHlW2WueFHYZlLVymTZcD6WTaCEYZ7rUHxBYVWotjK+eTFb5EVxQbT1AXnjnekX
X9MuLJwiK/KzR8WffeX1S1N/p/OhDP3g+czeH7/+zyedwr+Pp77+/cfpyN+/f1s+6ClLX82/NF3n
x7f+Pjl28oE/jpGdedanc4O/O6O3fPgmn0wBgR8HAm/45KnU+KPgs+mZJ+HvnnnaiQg2kIMUJ3SO
gmsG3/fdMxMKlU4u4G2jUPd4dNrfPTMs+IL2JChy/i313TPDSbSQIjcFwhQ6jeE8wx/nK6/BBZzk
+feXnnnDmsHlGYN2NojqKWJo9t6ZCWw7HXnleDXWfxYweZux/gdDNY3wt++fEreQ3BUwnRisUINL
TBq8cMlj7ll5n1N8VfWGKtHCTEJVmfdte/wCgH+8k83rzGatNnBelKGJr8y8tXF53vH7n1+ArLOY
zStMduPFnfi4yEgTwJ2QnquWfebymzYGWxpXsmldSpBdtbd5c9yE17X2FA4fomDh+9dEf6izG7/L
VV2cWabvCi9TPvvQRDddGji9TP/hUWCg/D995pPveKEpDQ2v7srpWVDXG1NV5H82bWhrzK46D9yB
F6tw+MYNogr4X2GF9s8f1XTm8YYCwEkf9z8FE0/QugKZ8HHdIj5cDW0UYhvLMjmPGaG1PeSsyG0Z
oaw5iQRQrr5SZtN9xElnqS7Tvt0iY7RLswgUyRvULmofnXYSzllYJukXktLTzkMVVcSI8OeegoWm
sYwE+LhaZVHkllZ5kjeDIm2xwPXgtPWwDMar1grd1GdKF4ZqrHFZ9vI6JdfeGC285kvlJUA+PlX+
RFoSVcaW02agQKdPqGnafEzUEOVObH7SYFkdi/pqLEp4iNhucHPOEbCm/HgovlTgFQeDqqLLznDN
PkTRRdSnyzYj+nMKjiSnI3W1/FQzy2ER+Ni295UZ+sxhYSEcJFLm6ji5rY0cfOFYKml6lRP77Pzn
CNEJgb+nJVDy9Yk/Z8pdKKuo7qvxCi3psXcyntd/0qU4Ka8qhc/r48IuXeFIe1hQ+7Q8TRfa6W+N
k3hRL9HSuggX0cXPFZo53Q0zMTnIF68sS5KGp9Mrq+MTHausc8pKFYsC/YM52vZmvjRHM4MnwnRM
ggCuY2Qq+dTfF74dNjYjjuX9wyTA64/4yV68nAQzpigBj5LKkFwF1I6u495perv0VVe5kbT9q+6f
bm3dlj9fj4KNpUALhTnnLamV9pwnlEAUAux8/Ks1rn+O0TYDCDv1/LjA7NmhLORZ6xNyVbVOY8aq
M+yq/0diu/Zibt7FzMrKXlrjIOAisj0bi9Pa+kSsrz+/j20u6eV9zMzjAL66LFOTXMHxWHafdApZ
H2V0KYP+6WX71ezoIrwrdaW/1f899GjKH75Oj15uML7JjibZH+wIToKcWjqAymCARMAc+cGOoNsH
ElsTCbKgK+Rl3gK2A0NTtgPWRXPo8Z3cz9/sCIiUCVvwW1MlYqJb36ni9Usyu50dEbTuSSczKfnj
KlsBa3HhuKz5HE75KLPWbK+SNiSBZ5eFRqdJj9lpNuoosiMr/TxEPlG8N85FRigEn2mrushygsxA
CtfRp96vz2LR37SoPx88HKk8sKRqOjGqMRxPZVj/0aUQxab0xAwtRRNPq0JUV3nfn1p5Y9l9WpyE
I7ynaVWpzvOl8rjslyWl36jwa7urikwhSC/YeUiJW8ZGoUYBoVEUCZslqFGyCm4HywtUlbDBlfWQ
OqjMPzGraRRrDGKbsW/TfET20NWK+UVrl5n3ZyKxUxNrsMuqcsyw+8tqYggLi9SBbVbvioiHNvjV
L1YBThzWVJzQXthNEUI4rMkXy2dLwfPR9jq6CERpKFqlx8RqTafV4rjq09QZWAtetO3/GrT3V1r3
V0gHhTLj+jZEMrRTFi/juD8RgZ8tcN+VTtkaWgk/v/ch+eP0OPuSazNSNGip4zX1g+WR8bKKh1WY
m95ZY4YcqARJVeBbrpEJ/JFUHLIE2gvsEAJ8pasewtcuPsNm0d4K2ZZUNZA9W+iotUfGQ5d5XC+S
gSI7MfvRFUEAoZgctWpIVl0MSPROnLblQugwd7wECGENb7MqqzhwjVCX7oBCz81QFZ6FSCdLIbv6
hpjt+Ec3toGjUeKpuErQxWClfDF2cXyry5achpxbX9oqTT9Csqa4DiwSnghc9ueF9KjTDok+JdaU
SzMYi869Lss919D9eVOOCVFjiry/ehEawulMozjJCPoQa4ndIOjyz2iAB7/0YGOvr0Yk/W9MJI2b
SkJUVw+NGwthDykpVBXljWrHGt6bMjzDFbmohxGeeucWELlXWXGLqkraRtFclkHWHXte3S84antI
50BKgZtBq1ifX7Ka1IsiRXbEy9otsDzzPMtXcRISlQEjcqxWZs7IYuxoLEKHpwNa6IYGuUvCG06z
fIlDK77QUoizuPHbP2QqxIkFx/WowEDe0hDZaFdG+a0nnnGc5pHTiyE8fbRhv9qa//fFupNVe92Y
v2iu2rTlk+gLWw4NfBgKxLAE9slgv7DlYFsZ7ONqQq4ZNu39OwfNYRsDKE1AQAvVJ5gZ4O+/23Jo
/4azNeCoBYKgqAze4S22nM34GNhy6CTiEgkGlB2uNinxkmJy7OMkKU19RUQJKZ26JzbuhsHt+yxV
pPfxSefFi4QOJ1makVzJLLhNJT9N23AhZL2Eit0lb4qTyDSuRsNzEUsHO4m4Pk9Crq+isPxjQOyL
kDlyRDVAbs2o3XaIP1mldxWhelR57AO11RH/0Pt09FU5RjlyE2Eh7QizQy7u0eUYhK0jR5iggRck
dmyKTGWoBoOFpTtGkATC/uBg4bujp0MFGQR93Fhd6hgeu+yHnKphGCPbkpXpBH3dO22LPre4dng0
uB2pIb8mWWxbKCyVWZp3FtynnacwLliWdNG0iVao7yBMzKI7GUrhDp7OVJMGsUqG4GTMmHeS5JFl
o7R3NXi5JdI0OTNNozv3wgC8EyT6bEgifw6LNIZMdo2B90ZX2qhtMxpC1Y1sUVsN1PALy07i4rPF
/au8wJ2itDtnfVgsaOE1ysuzxsmMJLc7hgpblvBM46K5yPMot+NBJ4uxNZZ5aZ6aGfkjjVpgcVN4
20FgNXb4mNMiUkMc3reYXvjZeDmStLUbOLpYNVH5JakN22t0o+IwP28CAY4ZTjS2IedtG2Nf2zqG
4LjSEVV5DWnPhFgnUW19iL0hULSDtDYZfbdgqVh0hr4rCAkVQdUloZ3LCmOpUXqepuEVTpozSscS
vFl1VrTwznhNdV2EVq1EDI8GtWBymdSqyny7ipplUdALMJ0Qa0lt2EUb6eMYZ06cG8syMiCQ0NXF
GBeQAyzD0m6E9RFWQ13IPNFuObS9zVLGbRJnuaJ6DFXCaog4YsRV0nluBWFuL/tg0UbZhc+8r0PR
DovEEEu/opZj1ugPVhRfI1pwByeRMxS15YjQ/+B3+Bz3qTP6PVQD5H1pdbmTQr7R9irrxC9CrEbL
PK+b6irUVWF80Jon48PQJ/ExB1cv4/yP2PMLux3bsyoc2UXWxPlpVMtbHaOPtVneixyYBlCZfPQX
fmY5edWdytpYlIic6SS4DLU+7aPqMtPJdZvFsVNUQbNMvKY7sTzz22gZTaSijrJl2HgcXE/WjjfE
Gi/8oqyWOAm7hR+aveqoBddlyzwplx0fK3fgwXE30uvSvK0M7Ku0kZ8ziVUS+WclgQR6WpsnXUCV
n4/XzQj5/Dbs1GA2H8DYqbKrHUJMKLeEPrx9hXdNq/ocTk7WKhb1mW7Cj7CLi+0N/s2Y96Wyyoaq
oA8jRcoaJkrKs6X0MSTrhyRc0NhaJn7oHxeJAWaJBMLVQ2Iqo4E3J8uBPmaYMJWO6bXojS+cZd90
ie5TQWKb6eSPMfPPTRxT1Rc5c0xgRgqVHlc8yv8SjeGdyzi4CHsBZgKh61SnMBl4ga86mjzQkfcu
GruHpjJGlVr9R9oN+QnN2q9Yp4uCoS9DyC9EUixkBamrtIf5IljFlpCu/jPrZePEXbbIxbBsPe2g
vLyWYXKGrGgxVpCWMwvvMuJ16IAzP9bZIE+5YX4WjefAlVubSvYJw2ZIy8CE4tNY4NzN+6h3C4Nc
9DANrrmWH82hOu4TFtpZ0qaKA9cheYRVqClRJq8duNdQ1XHFbBkWq6DIY7se6l5ZSeJiob/58i7M
+ceqph9jeCbgB7BN/CxRdSKuU6g4ocAAFNuYqdzjJdCfLrS7NloGRcFVGCVSDbVxH8JwQsSFY5r+
aWL6lwEUFJXVhO0ZM3DmAqDDsUn6j32WODjNoSqkocbRiOxY9gXQZFH6J73ubc9wYkHPAiksu0n4
V1SN4QmYY+X3zIQ0Yb8wguKGhN4S4uLS9gOrcfsQj0r61V1MgtA2KrosTT6qFpL+UFkt4a3Jbxqz
P2eoimyDFssmA1sf55edzpOTHHdXft1/RIN2DY8OC9PiZ7qQxwY2uk/BODSLriEPsWx6VXH+IQ14
5I7JSJ8SJP+fT02nAL3Op6adLDeJ1OPJQc/FfCgZwPYRGKJNKHNyRF8GxfQISUag/QrS9dZjPPq9
ZABlfgGZVmjBhA8RHCb4N5GC5gBYLInAysApdAhSQ28hUpSu59CmoPixXEChBAEdJxAgrxMpSQmc
q1Jk5lXcJv6Z4aeFd9P3cVYcQ5ASLzsGDnbgzLcLYULZN0lOWGl2ttkY5nHspfokHUh60XVIQjSZ
CLTomyFSjE+BXIrBcmYRRNBAT2I/OzVkZF7wEcp9fYIWVurDpKjjhRzFgxm1lWqHznc8j42pbQX+
WdZ3Z1GWLAzRBiokUfOxbqsT0vbW16SXGYQ0gXQ7HC0TpKFMmS874n8sMBANZEFsUxGI+7K0PK5H
fCkr+cC95kNIxdVYiBMi+E0ojKWhqy+GL/KzzNNnRSBPyoCFJ1h2QCl8qPgHNykxP/uh6BWk6gLF
Yprf4Mq/haWMJ1TkboS8WyqT1VRNUEMLZdu4brtlFYSgM0SllFIIwEuouoLFOysmGx6X5AzCxMsi
IRHYcv+iSNmqDOqresy+1fCglay1PeoO/JKXn6Y85naq62NTQlZ5AGsBfSBKgnNwYxJ95lCQcSgf
TkfP+CLK4MPQMc8O6uik8YE3FLwaXQk0R4usVzn2LDuCCizpitt48JexNrRt0nJc+EMy2n4e3FUQ
AkNuH5tOhoelZYSniQ8FXPBKl1kO2dWuTgInLMs/ci9gLi2/NdaAjq3Yki5wglj5JrAMjr8ZfRXa
UKG9KpIGkhhhmNktLz6JUhjnhkyOY7P8kPjVMQTq4N9bbUd1zm3Tz2LVI3/4OmTjqfDZPTcr6kYt
JFqxHm9ZmZ+aPvvao/FDIYxPbYlvu9wrFbTJfOMpg76LDirmeRVdpnw4jiEpoEqGKztquodeADcz
sOnbQe4vItLcDUEJVNWkC97GdwNEO1oBLS8XJLSqv1qJyHlvmkECNKL3lzX0UiYQhA/ASsrSOk4H
3GfKM8NGQkG8HLiqBTdKlYI1cBDhGVTugfereHriYxZCqcarnRi6lhbSQOGgvNjwgQgEwfHQoqsR
JsOHQUR8GRui+5Az6KzpO3JKaURtBqkiWoDMGObGVeT7FPJUSLsU3jYFJRYaqxgPyGU07E9S8MXK
LHR4KkQ/Lnlrdq4Ow1oNQecrBM0uXZ3eCeRfFa2vFRipC9oAW4Oj8D4MFfedKokuCwuK+AT/2Qlz
uCmxEd9mGAg0KdIK+lV6B3tl7grIIqjSorELhSKopNW16jOIWyiGOTsde71MiTQcnqFR4a5pL1PG
3N7XUnFjuIhJ68YyI6opykA1iYUUCau/ysZYYpoT1dLyJLOAYjFTnBoQkZ5iPxGOnlgCEVn5lfCC
KTMTnQuZBEtB4QUqRwFPnBCCoIWRJ6k91iO6KzD5EqUptM9U8N2u7MQyG4G/xXFiLnVaA2M3IrRs
40IrTCZ8PStVI/POChksk667DGFG2d3YnEay/BB0cNfIMBfY12d4oMsw9WqoBSWVisbyAlKkwu4D
DqxdNIDQmNh5BTFAFAyLNEs/BGbInDLi0tbCPBN+A5WEHC1DM75FbblsjOpmjNtWQYgL6a4Ouk9w
fFE1pb8YIHSzQ14uvTw/tprqm0+9wDEhCndyI4EJG0M0fCH69FNaRcm5DNrrDJ6o0iyUbqqBT/gF
Ojaj+s/ByhYdy88aTzz0mgBB1ukptCT1ro/7JZSAb/5fzLi8dPaQmYa0w+vkwF4lIfD1LFxtSn3P
s2BYID1tBwo+HgoUkzf/O2cOiyinTS8sBoum4ARKYA7P9IDBEhvoQrCgAxDWV5LHZoPveRYCOXgY
EBbfCjhoZ2oDfEPOHMM11iuLEg5dgv3CLVjtQ2HLWuAhL9Ms9UihRto0/SX0okm37bwgV5pGPLZj
3rUfLMMcTqMe4jcXIUj01pq1n2NW9ZBulFnx54un95zRf9nfMO1AP9cGCgiwfT3UEdh0vsy6NtAl
k8cyABtCigxf+vGYQZMD11Zg920NFqXtWHPL2xw4f5mKurCLqITGQA9ab5gtJM/uZV2jKxgjaByS
JPjzaBoCLwfL9B7wYOB+8XONtzSYwd5C0K8LDSBA/sS8ds5CHgC2Q31Je9P3Hasfk88ttHbSRc0H
bf4ve9/VIzmOZf2LNJA3LwusTLj0tsyLkFlVScqRopNI/frvqPrr2ZqanVkMsC8LzEMPuiczMhQh
8vLe44SGxwZ93WVtXm5ZCjjFDT4q5iJdAHic6+/UKhVUnTcntdIdX0o9UX8pIWQaSEMgursfTHGZ
VEFVDU1x8aqouBrGNbFNpzyQu5Iu0/Gff6q/vw1AVXw8oS1LsTainx/6F3o3cx5ZUVkxu+u2eOUE
nSzaohBLAxiPvV+tLJ7mNhg///O33dfaryw3Ol7QQVm0K0/2/9kv65e3TXxL4lkRdsty9HPBQM0t
U7Lq8pa+/vN3+r0n3t8JJzseYYPHDe6c0d++08xiB0UA5Hj57MdvYuVyPLY6d2E5zLTxhUGjFPku
R8cSJev0Py2av+Wa99YeCwWP0ImjOAVU+vvbQ6nYgSOZuttMDMnb1JvkbRj3a0i2STWp5BzjPm79
cR3FCtnHwLMfeizUeS1cfG3TSPpVtPZ8AETPppdIzqCyaO7cj9lb5hqSjAltVsFjeUqidDP/Ayu/
Tzu/3ShI1FE24O0Ooav8XSHspyZhSdJ6N4Fpp7dOagVxrjdoFpeRc4xcVtoN7wTY6rXdBD2kHDBh
FQZL9qGzbeOVoyQD/tEvPzoZZd+XZKbZH/g/JGj/PRuI/uD3q4xi0N8IANyf7ovd+ZtIIZV556Pn
jm56iFhadNa6oNsRGGtUHPRiTCWt8B8A8SXgJSgF9xSwowrlfBzjOayGUUyP85hMFrjFSj6tPWYh
p9D+zImYX1I15HUrWFsZUItd2emoX8sWCtvbdfbUnfCgHSEkKPrS21o2VeFCp1OS6vEx7Mk9cSyy
JWQU4la34lmHk7cTKyG+yA5Nai1js6EBWfP+eqRJ/qX1TXyhaR5cA9Jbimr1aTxV2F3d2culm8rV
5VsdgD6qt95+m5XQT8b3Mlquk86gOBbmHLdh+CxosA7HNvOCrtzo0L5jdEV33jHhfTVTNtXzrMLz
wNl8DkQxfu+WOcW+j6bhqSvaXUslYnKRrTSVw/dwhC4d/f8KcDleJUQ8gQ2WZkyA31fLSnIgiGBi
m0lFsjZzcUdbj/h1EGDYwVETrhXz+7TMdTZ+tpNPr0JZzE9JpJOjKXovPKh02t7yFMyc8m2/HZYh
JwfPWv8tVOP6ocg8J9UWatCmjIQLOVjdc2yOdW0cWUx+kGAP61FH04nhV0uwxhIC8WVasrJXfe9V
WbvukxvowjLWYwvVucemo0yHhsTG+Q9rFMR1p6Q/lj1Wkj5Eei3U0UaZvU6HbRvbB7MKPUFK1I2O
ye8gAsJw+6JWz2YTLQuJUs6/hW7qdSRLo42Z/Vs96GmwoJPFdlwKo9vzJLtuLvtw5E9+5kXn3kWR
AUFbgHJ0wi8sbhd4tJqBjaOVHodVQB28Er+SwOzbOyr8NAP47LKV1gByC32dAjfDilpbHqi1MjgL
D6lH+/ZuwdZJ94l/RksfRIOaDmzsZFGOAodX29ilSyuvRfhDggHVZzGe2d5OE3TsZm0P65iNU6Na
dAWHhJFpq/ItQcVk4RCbaqLSGyFtdUTdq86bpoZjuP7wzJJ1fu3zUB+7ODf5beK1pL2wKNPAEipm
ldjcSfmobrSZCc2mplXLBvBSKtYd3JhO7gQGc5qrJAT2WmU2ceMRtETnVbit4SdvnjYMylE6TDX+
8b27sfc9ha+csU+YDYrpHMlCj81Adfq4GR1Fhx7kd3BFV6oyDEc0pPrYymVmTziMo0tPtnA4mBlX
0HA9EjDKgd2AovZuXm+m3GFpe9gqsm6DwFwkuKyxJm1EDOahBbezyxT6E7b10fZjHGDKrcFNjVMd
uYmKc+B38Yl02ZCCARhEVHe8a+vNtAMQ5FXOxX0PeiSuok70QHjnfvOu/HaMD8HcAlnJaJHNTeDo
xs+0C1agBUVM13L/vTIAGcSwfEgkKvBDQIi17byvEs+Mcx5Y/AHDfoCJFZxDvsRe9OzGNTS36Vw4
XrNC6JsEOOQIoiEb8IJiAsxxAGEUsC9bMDJ6EW4a7UGtyQayWRP9HPdh8pbYdmrLHBNTdDDMZlGj
UugmMF0H/VSPkRhUlYPZ6IJOfMHUhc6iJ/3yBMfC+j5LGp2WbCVtkw+JD7o5b/F3kpH39sDkEtxu
EKfGD0onwXOgPfzGmnoqr3TggIUv4dR3J2nDcD2zjKjwrvOy4pX5Yl+cfS/UMRsVVffWxTqvfLHi
3tCV4cK4QtG9wglWvAJIw+qeUCVlDbGJ5Wetija876UZhkfMpEV8tnG/mhtt9d58Umfvk8FLQa+t
E96a821bShtOeoPyPds//H7pK+oTrmuegts4YfgURiT4qujAh60qhgVbZx7J0D0wmWHLS4OugOBn
qKmhZvROBLGTrIxm6uN2r9Kam8mjsyo73wh7sAjIjBrAU+FeNLCZKnwiFBBbBHufrNn02oZRccmX
rsvLnCYD1oUj6dvKIlyGlb17jLT11RVBm9tf8ZkN/VOO0+KomB/cioKIL7EPFUNJY9qFF56Twly1
lJOldjITKxpczMlziK+18jPhvg3jkNxbo4DdCd8tw6cVgKA6Ta03fbit2GtIJ4A0YQ7Io6YLHVWH
OZ2KTxAJTIdpnQlcAzHKnJMrfey4VlfFNPRJnYQyJCh7uyZkoWHxCqZtIc0YMmwTkL1RcY4ZD8SP
CQXZXcCCY2+se8VuQAfjG7WgtTC1J6u4CqQJ06otYEbCSRstPlpv0X+VxVI8ew5t+mUrtAy+a8Wc
Kif4uZZzt4b4U3YK6FbFK0nJecZtWStvKNLDxpdF31iXjU9APAXsHQq2ALskp21NcXMGP1Ab2KyB
8xuW2vja037MGyrYtFwRt860yhPwNc/oRNR3v2AoIyidCqgiVasqi3XJBU4BJ55GIoLuMzCzKF/K
DR2Ye5l15BX4Y6qVDc28gVy8dl7fKfG9pRozlQ7nDjazB6u8FrpaI1TXdJvBIu1C8Kb3dhi35HZK
53GEEHnx05s4oLGtHLob1awUeEuz5qzb6fBsQu1QCkyNjayslxFU/XHLBVb/EFuS1a51vqraWaXi
EzC14LmnEmsNJ13xirUOlIkVADQOJpyL/pBPNF1La76EOeRWAZCbJXtJQiZWAHJExzdxO+bLo2hV
AZ0OwYpuoKDC3cTg4Ox1F+mBX2dyptF9aP0xPbdwyuBzWeuRm0F681pPqkXNQDdm9M04trh+WQzk
oGg+0Hq1vn92Isa+d0DouxJOqewP4ez/NovyDzWGvzow/uP/nnZl91/9YzgFEoI9DeFXLOX/Wy7x
sj/xFNAtcQwjRQyEAGKTX72TcGjsD9CKkiD5Saj8CaYEf4G2cI/0h2Z9B+Ygxf0TTEEyJZKggaSg
k8n9XZv4L4ApcG/+NnIg6ygockyW6IxyXMpv9gk0jjYVQk33LJjj+EaFBgoHZzp/SjAZrWFRWrss
eTlm8zeIC75ufKNH67Gn2IPcL8re3bKi+THkJFEBxdwx4M1oKUyc3fo6EJXXm7Hks43LlhdLnRBH
D+GcYoCZya3ntUO1LFTD3sXvlNPfvXSYy6RYv8ezhxLDVWUKDGk8765sDJl8VPQ33izupc+TmtNo
u0VntNS6xc8yJ797HLipNPJ96fRhmwZ39MP83bPBga46ADxNTlmmbxkEDtiutAUivX5Zc+9l1G6s
+iF4ihL9mSA38ljkUC1AWpreETz/sgHupUvIkiX6F/KWZRs/qgSAaA7stYMKm8diLOkWPgEnw4lj
ugcb+pfJT37EejpGcn1TcXcVh7CoSs+rbB5eobXDbxenyZefTdSduTVpzQbymav0c9G/RytI7jj6
porimwzVndy6Twm334Y4n2pAEhtUPem9h4sF2r6eJtp5ZY9hACeKAS47dE+qi27N7N1uELxUvQ89
nAvHCB86n859gFqfBFDfrX587yXreIUiDLuAh8mS2OCqpyk59p5JD4KMN1QYv8mVxRzpXUDVwDuQ
6UvOl770i+ludjHk/ANoLDmz8Oj0eszBqdeyM5D/uDE/DhmVde9PS5MurW0SE0K/OuKnmQtPkqyv
bZ4dxs7cp76BUJPhdPIKcZQxq9Ag5SUZhnOYQOFkNQiDeN1cmfryPHkw3srQa4/YaG218uUKjcUt
xa3Ab8r33pOPEIXeY+44kz6zVRr2x7iHX0LHp2InS4YtfdG9KP2JvCoOkacfetWwhRzOkTTG+FjQ
Q262z6wXc03C+dJm8yfPGFWPan3xCj1DqkRgWx090UTL8OS80DVRiCkUY+PHpLyp6vh8E7vibogd
KbWzMFHy9drYZW1sbvldtk4Ee0Xmdc+7sGqH4rRi7iqHSNo33UJx6KsZOgapoHMd+k9mqLOxe4l0
MGIFdlmDvVbH8WIqTKb6yJSGOxQN+ckGISZE7l/t/X/MvK1GyxnVm+c9wDxDG8fEVmfhdNuxkMFb
YtOqiyIYBMm2H0dvAyCHfa09xdHFcx+DL6bSI/KRZ6qJnO1r4BCw0/JXzHIfIHShcsriD7n5XwpV
XPvreDs7B5VMkJWJ8miTOsjg3SQeqVFvI2hVuFzOOd8usSlGABoW8lcAkDim40rm7iNU8ivxzNXK
9cM4ezd66YcDbOL1NtibqIAeKfCXAXwLYKfeDH5pQDBUUuuPGZNcOYKsqkebvXVCfoVVzYfiyhvK
kAMPtmueXvTODStgrpDaQVwXFKJMHbwhy5h+0yDQ4eEOuxoF+Qr6T4vhwpgD3ZaLbsGhhpI8ptS+
9V1CyjmGMVILdBczgehDxeCrp7QWtNsqTe2TTgSa2541o6VrLYYubBhLJDYdx5bI05tRdn3DbXvL
xwi6HdPaKvPIE8jnOz4XT0UbnyLr8iplGK2NGx9BuNwCsBEHovPxs1zBbbbrcu2BxIfWY9/YSf8J
j4bRZbqsmHyLNa5ISN8t42lp4u6wrOyCgv7oYr6g450sCGoDkm8Jyy6BjjrJ8yP1OwAjKgKnlfLn
NmcX2qZxNYjxWtHlATJnVoawJbVdpIBKyKBhZMRrl+UpSfscHKN5h8oNIvFZtmXIQlqlvfAqsnkf
RRzgvKCyg2zZe8Cg955G2NtizCAsn3KvGi3BMNpu7NYXRVxKLj4H+dRWQD7BfzoLOTtMVCWFlKDm
qNnJzPxD3/n6MGr+boruE5+xkNaWHZwmcFPjlpc47mS1RmAnMT2QA+gMfKfAD85RtJ4KEgMXoVAw
RhyGKgP2gLrhYcWZWOk+5/hiVA8lEPhaiLGx3GCGrg2AmTKHhv969ra1HuL+Bi4tDqlgtlbEB2nu
DelLAqsYptnvCU/uezL/sNALlSruP6ephmpRQlafGnYNEFPcZsl2g/MfSF7GTshkOOtxllXswl0+
7fPPYuzHs9rEC8QSoh5Z9Mlz8Z3u9PdVjIei7V9w2PtXYIxZifP/rDpyl3XiudiGU+QpWP8pZNTj
Lk90MZTVCajbfVzgS7ziUpKlBufxrbPcqycJ15zg83ZwPH8M2kk0oJ9jYASWNfOMlnQZTXv2pXtL
PSwGTZfwMAz5s2UZ3H+td+kIeQO1WJMBjm/bz0cuOF6fzfd8WIKSFz5pwIB/m+HePhjdYWqDyL8X
6b1v0lcep6AWR3vaSPTR+2uGGhsYiJCAuuSWAazNoNPWgDdLnzssvz7QOyZZlGILvqRquYUetWuQ
QzCV0kPVRuwCqfvMrVXq9W8+C2+GbgVA1bU95JDzVbeM+Kq1PLoNI66JgPUYfzj1EDUB2o9w3mlo
sUTYsor3cmwQK/qdEs/CVUHkAWJQv+LTskB77yDy3Paqmn6a4FksCWmTahLeMxj+F1mA2GcdCNd1
vDYqgPDE5Loiios6jOkTdP6iaUcNzYRR1eQXLzEz92RciwoCwLWZZs9UIsV+ihZ9sARcK1SZZw+d
EzZk71drqN5nMt3bEOc5vi0cIf1JpP5abaL7sUIw583pR+p7z14EKDaboJEbiuEj27V34Rh+W5y8
AlMEyUeWfFNLdhQ5MhAYCS4tixhExEtc2XT4RKZJVcLKsMphJ+m96UDadz8n12gM4jKP4akITH+Z
ExlUM1wjt2HHz62Q+Fk+fCEetI3T2j8HElLk2XiP2VSkZQjwOi7WTxY9V5nSDfbWmbNG6IgAxwU9
PQ0CHycWGOlWCVsjj69ywe/z3EEYmYmxwr77QI7/BFAawy8ZooO/mM/zskstZACdB5MV1sJNlHa6
YUkPqHOYn9IO9whocIT20qJOS3ZjY8kOMo0vQa6/9ZNTVdDBz2x/ajD8l23sLtaNz2HsTfWqUFIz
/31ZNix+QBUQzmRrDSvB9azkgfk2L32A8iiHPseq7X8U6I3pktJytuzHNkmM7xAoEbmdwxCpHn1f
66x/mRcoDRW6PIBb6DMFViYt1gyq8Q4XabKjb+VHStHSZdx+iSb0fEsPmm7sP5uMndu2renA3tp8
eO+1uYtjcZk6HdRksgfgojgpIwGHafZoadDYZAJMJPiTVcVpjotzAZRe+P092NfKdYErXUQb2o5N
J5drCcTJdDMMLD6MJaoPXCVIFg4PI9vSz453aX4rvGTB/5HoGdjLLkVMZu/f/ok/hsl9aPvHM+h/
Tm/fufz7EXR/1V9HUDyIGQ8jCWFLQKecwNP/X5R+8BeofmDRB8EXBbuq70/BX/6XDPkAiGv7w+m2
z61/DqEI3IQPIwYb+Yd5LvtXhlA41X8fQsFnFj7GXQy8GYJPcHm/0qh8TrYhca2688foGcEwT6FK
riBnfxjsDKneEtML8UELBfGpd66vp2FosWjTtdLWtKUvZqx6t5oaQPGjH28bpFRZUK6xTku1BQ/a
F6CDC/wtlnHajP0cnAsiQzjlxieZYbdtjOdlwO2NJ7ArJwYDAOxTXuXZpK0B9/fNuITIF9CruPXZ
9IwH/EA1uGzsug9DXfIUbibSKtKEY3aMVUEAUXOcL5TCyS3ZM2U5FP4eMnN8qc5iThCDokmjBqDJ
WTz9AOf4Cr7GK8cwOfHIe/K2IcAOhBJ/h2a3hLxDj9GXIjHQsPO1YRLz23VAou8LfZNRpQty4rwl
9boY8K8blOqZG6C+Ge0AI4GC1Nn1b+vG530o+m70egn0vMLegQ8kl/asZH7vkMVTOtZ427XRwcXG
+dekT8/c7+OycIlfF1lyLYm87yZrIY/Lobywwd2Qwu9CfAP9M84WHWWq1ISocyb3drudHkOyxg+F
R7/ZkD0olgOEHaMRhhMaHELBQ8iAl+AQQbjezC3XzTjIvm6HNUCgQ34ddvSM7gv9J46wPmePdkC3
5W8maEQE2vinFyYtwOchdUU0ROjliWg/qtqg+EQ83pewzh1RvS5qyJ7jYnsLPMKOk0P/52uo+GhR
8xDukxk8Drr4+bSijlWpFpcowGfZpDgWCAKohjZg/v0cI20hbwXeGGPCPPC7LZbfOg4vfwhLNBb4
W8E7gBA91KV0CD5LsdxI8FC1l8cQVqzRD7uaH0vm3EFpCzWkytsTqKF3qBn9kuNSqgEC9kO3mqck
JOpqyv3L0vdf5q2AZTnYqoTTI1+9a+HcXCrY0RFigGQgGEogu1PqVvcbts/yTHEMC5rlJxZhYsC5
/NRuETqw0HwSUXaGx4Oc8oRfAG8Ao4FB8JArdk5J8iKpTy+LZil0gtsT/uZ6LWBTBTbPeaMRFVP9
5GEWCUItKPabZyNX+WmbQoIXf0K/L2HEwPyqFGMXDBW2sl6WldR1ohzVqKvNKv6Z+C05MUrlfQ/T
F4wTorbMBZi2p1ckB+EU1BTQN5R1KoQXCZg1Q0fUG8DwQ4fdrkM0thw60j6ltQzN2d9y/yxyes6C
djymuJZSpJGDmhC7NAd8i1SCreQCoVJanHovxbi9adCkENLNowePSRLrCjQNZtSYZkiogp1pH1JA
ztRevPftBUydy0tg+6tEmguPEHQUy6clQ6jWpqYjBaRVsqndSjYEt4s1Lx1PkAXg6P0Um4cBOEeO
yVVNG1IhwAYMkAmVE+9fQaVfYuufnFLPGpatUhjmo6Pl6CBGez0o0WS+5IfJ5QrODnvTyuhhYG5s
7Bo0GWCJ0Bj0msp8xEn7tSPBHfQKt5BX3MNJK6p8Ue9tC3uKGbbPI0XERSzyHN3y9FVNGTBmB0BP
h/Mzp/GV9WbeLCNWDfQ0bniNTJ+cujhlEWCxJAQwByY46Xj98+T63wab/+/ByLvx+x8f4eBz9Y//
5gTHi/56guOYztL9AQW7Mz1Mfz3BIb3bD05EPGXIk4KN8c8jPPb/gsMbxnI8NhT4/0+P+59HOJ5h
BYUJZtskifDo2CL+l45waPj+VmCT7EKoFBI/ZPjGgLt/O8KX2SoQ6zRCDE/sY3Mv59XFooY4N4IU
VxxgnzE4Pt2nLIQfV5H4m4zya421VSc7d9bbNj5qSa/0yn34EdkNtK+yzLfZ1BYjnJWpquNC8opz
8+4K9oV2pAGh+4hh+8icvoRR+Chg3cPc6HawIVSlDMJrNoGaJl72ooaCV2MxabBa7Qvc9Z8SUPao
txsgQTvdJSS6C9a0KQS/ZKM4D8kWnbcFWVlmAECwUIA/w4b4uPkjnumjWUlyYaQ9ItXqPYcGulDb
q1UTZo9wCgFLDJha4onV0dxWvuWmymb6ugbm62AxNtGBnkID3+MMw3g5UegsNOpt1c3R7TCJyzjA
5LBK+SEWGpQWsHa1jfndLiGuViLu+mSZL3aCU8F0OPWzCaEmA5Wkwizd3qqU+zWOnA1gR7x95OEy
3C5x9m3r8OXO7UQfQhBdJVXyB9V+cdPz8ZwUyOtpwxlxNkzld6qzU5NlK+6awbAvCawHw2RXkN9I
rkFJTo/dHi6TSvCEsc3Ig0+i4LjNPfAbmDLQRCHFBrIWICZTRBrfjf0piuwI13oXHnu6C9Y2yK9S
C3oUZQ4saxvUgXU+1EyqO8T+3B5i2MYaCdvUUfNoaljUXwdMXG26vxsYQBFHNsiq8w/k7KRlD6l9
4wHyrh1AvSZoM3eEm3ts/J7m+CIC14ApLY66hzm8t9IcixAk5UQkFGig9x/ZmuVHMye0QfZhf/J9
DE3LArxcRZH3MOKRb/DF4ZMKm6Zll/rpIScwnfZuzUvHydx4EA2AVhi6S4Ij8wis7dmF6t4YnzXU
y13J9fzOR8QsdDSFUAWY1mUuUIrh5gLtsu1fUReyr6tK+hcGhUSpaMFOzkBVCgcxL8eWBXcJ8gpA
n2wtmMIM3zFAjVO+gv6ja4wmODPdd4QwZqXfZ22zkMk7+bo/mGRs2pbhlAVXWk4FLFvQ1EwYz4HN
ef2a13KeRgBhffqwBfaht+YRtt+hgWcl6KoxHG+hsYLjYxAfGvEvGmr6g56BxIzFKG86UKpVZNN6
lCI9p25tr1MvW44Io4ofQ8+8dgXXXu1rY9sjDW0AT52Zv624qmwDItvSfixVTsXR69wznGLBwSJV
ofKX4sKmMEWYnwvKYjHn0SgHkBldPvQtTceYd/Fi/wTU+mXB8V4pQp8n0V+ynt2vmQKLkN2o5Gub
hVeGp8tntMU/1lRf29jzSiYhds1XAyweeppTUWikaUq4IsjgX4d4NzrTq2WJPwTkJ1WwjTf+6gfl
UmSvWw5iquu3vNRq+q4ySAqhODrz3j1ApX2NcAjI3fbgCDbl/Dh0ASQWC0WqhOO2XJC/AEXwdGYq
nKtMRcnBOdzCQEx3BqDvaNuvPjdf5hjlIfcxNWeDvOrW4M0OaYrBASjIojg5BCZAeAESoYZYNkuv
ME9sAaZ5tdzAVvDJpGjbMy++L2yWlxxe0DPiTfCbGki9GcalmjW/Mr1/AlMNMwzSPHufi7uu0A7m
qR5xiLaotZU/VJsCZl+6GmKx9MvQmimBO9vesFB/43F2Zib5DII6OXdTAL/K9g5ZHRAVbk/40OOB
hhC8TcFWj2kGMyOqDNzH6GNWQE7AhxYenDyRntwq6j7sIEHs1gdEwl6PoUIn343vOi9OGYtuAzIf
vVgcCURjuKcI2Anw38kbzbuuUp35UF12DxUqvPHcnfUU08ZkY+XFwwOEPh7OAlPBhH9F9fgwwQYS
dPR5hHKZpuyUmZHVZuqex05XUFlIYM8qA9C8nVoIGbuxyn0F12IRVphyf7SGuRLnmOeOKg9Vjrlo
GCuSskeY32Xz797Ih4IfYtd/1hv954hgx+9vv3dHf7zsl+4oBkOCB3ulSHuIMqAYv0RDRBncBz6S
Hn4DOBCC6P/MOUUOUPy3jkakRiSIk0DHhb4KJuvwX+mOoKj5u+4IjRYSkAN4VEK/2B2XvwIcuSWi
MDk1CHHQ8yUfi/hGMnuVsxFxm0a+pjCwi14PJ/bT1A7aGwZ3gzgCJ7augoJvfCjoDGh9cA+axBeO
PuMgRoV6sTlI74fAO3bjgujQGZGAw0LP0Hf6cM5h/oECh9CqWAQ7TNk8midH5i8FBUjqAcQoM4js
MPuEKr4s1tsuYFAsgojcnm9ixqF2e+KJRvQJKZCB0u1pKC4Aa0CDoUApRlbKvKemwJs23OR/JKk8
zT+jVfI9ZWXe81YW6aEI7RksfE9jGfdcljAFSCIR1TL8zGwhQZVopLgkiHPJ91yXZU94WcbNlggb
hGpvz38Bw3Ub7IkwGtEwEhExDlEx1Hd1iOgYPyZX654lo/dUmQ5qoxIBgNVqlGkY7jDwGeRl4M3I
R7vy9CtCLJb2IPYgQMiOoQilKjgV0jzSIXrKfwYIzin19EOHjuME4XDFBE1PAgZx9pSia5Ig+fcY
gChD6xoF8HCXiLX9QGVcz5ioDVzRyBDYJnbvECqQxvOFIWRAIGwgR+gAR/iAB3qQI4zgZ75Sj7m+
m7+vLHzsEFrw7+KB4gGvMLb6Px6s9rj/3yvHH6/5pXIk8KDscS0BHse8P3bil8oBWAB2pzgDcIR/
/etchcfRYG6K8yyBzA+JATH2+59zVf6XCARPmsN5C4sNYhD/lcoR5vvc9KvDBH8AbiuITJDHDP9v
gYv4tXJoucJtHPb2btY4u+YcMSut3MX3tOpDBxY8YPy5W4LxLoSg+0mZVp48P0BK6NYiGBMWe1Lw
VqP7jW4jwLkNtLzQxmU9whjSpdKwDF9RsbxDJo3J33HVgNi19wUhczVNLKsK0/LnGN2E9M3/Y+9M
ltvGsrX7KhV3jgy0B8DgDn6SYCNSovpugpBs+aDv+6f/13E2ZTtdWZF3nDWoqKwMWyIJnmbv9a1N
lrTwN0Mcledc1vVqhBC9NSR+iZ5RuoEcOMC3hvEA1Jzts8zqdwkh3crpD9bs3cu6b7YTzO1GoGI+
Z1ww1ujkXzVd0HYdvcdiMeOH2h7Ly8ici223+JhSUmTkBm/BOTa8EGa08/d1WTpnOZqC5BFy07Fy
/U0mLToVBbUcKV34GUqbdsWJUh0h+pp7gK+9jDjkVx03MR+n19qJqgsiCkHqSj0w5XABcHfEHPbI
u3lJKZVSbYf2uxR9TiknenUG+20SVESo9D2RKX5qnIJWfyTJUMj4rrNb6KRMoyNdYOMQUu7TBWO6
JvIPS9IpmgpxIRokLiSquZ86SbLtNEduo3DkwussL3zQCVh4dVdq4ZWdze/eEu+tMKt4JdbncG6v
tbYYTtizVLB40ZFkeVcWVOpqCZcrp+Qj7appU8/jdZpb76bVPKH7+gRNiQ07ii7SbDoL4nIrt1IN
Uqm3INvmwSHwv876qd2M0uduQQvSzO29aMWpnHLsIK4FJWVEL5Vcbrj6H5OajIY2QWyD0yOaC7FM
CI/z8dma9cR6h7h15oPbtWngkphHG0R2vjEauckcKqaR63xoJE/j3gOu0OatUOH7UMXw9SGj0Ekw
31URfZOsPlt9ssoGltZQN3BcOF68m5008GrDIx67mLeNQ1ly8BqACZliyalsuvfxHMQ52psy8bek
ABPs+QtvMpr8gzYDGksnNZD+eO5a50m1ZHWbFQUmoxhQ2vNVVTfX74sobFehbe8NjrmrxiEsQ4kF
8CqkgWrrgM1z+DHDLmFBcygXOPdNF76aRdGt3dRak+e6slsnO4y2I+hv9nC6IJ5kX+yz27H9Tl7T
rSvEY9upse8G6Np12DknPR4R2CIvWRPmvWiyPr4wZjwAdmYcSE/zKXU+B9jnlgSFNsrtiFSFe3K8
6/ATp2s/b3btDEQHaLfx6uw9yhzkcRVfdb4mVeVOvLH5axW1F5M7VodUc71NFhvGGXObktxp0W0S
1/KisL0UuiG8GmrO54kvAnMGTs2KgeccAxP6pOlmJqbBIaVKgeu5CPWmGe71urMBxUp7N8vQ3+ha
3R6qujjKSHehYHvrohVyuagTDi12WetBWVfENv1mu6TzhabLZ8gdiNgkntasfulBi0HLImQ+mgVN
McHai6R6qbEUfGkLzD8RX+MbN0k+lmTpQPB9q2tW/+yfX/dPnV7cf94//18GsPmzyiR/6vcdlJFN
jm1aAirO9dQZ+5sd9Gvb0eE/bK+++a2WjR0UstXSHYsVhcIh+9o3O6gpPNdluLoPAGT/vbjwn0J1
NDZ5svkFESEgDRA/7KCycccksbzsrBn1i4yhGZY+ezdm55AZPMWJwOxH48l14AQGDImWPPkzAwI8
1QIfUWPmaMZWvdTWjdubW+noW3xkd2M8mIHnspsMcj7pXbgRGs212OgeY48rfWZkp8iBQhi0Zp+l
7Ru6I7nqDftzSPh9zSMuWYam4+QNn9MeUNZLOchyi4GQG5yVgWki0HuYDkyy0wbAnFWlZ0O0Z12s
O+RG26Kcr80ZTMuU2bGfIHhAzJ8tpWSD/P9c6uKCJGm1qZEfrOQAHpMjaHAi0pWF618vvvE0hFji
Eo9yRxRpI5Bvxz+KJF4vsjJXeS7DlRseLNltZxfleA17vzLH6XGJ5GXnFscqrI4Rr4nmEat2bpq3
Y5xuBsmUjxSsJjTM+3DOOs7xbKIcccgKtwNxRFwSKywu+9yaQda86onhKRrKOFYHuXaGOpZ3nZlU
r3o9PgLhjMdO+Uqtrt1lxkiqDZZvkqQainSXV4i97d7BGDGyqPYWwyOi0LuMpPlo1ZTW+ng8a8IW
QZr2y8Z0kKotPoES2fhKtdLfWlr02UGKuiNcw4kpTY+leOumN3JFW7sSb+1slbu+oSzZ0+BtqjEv
H30jKu4yPavSj1gun8eJOScWzUS3r0p6Ok3keW9Ulq5Cnu+D3hX6fupMzIBN6J/tPGwvZj/EQ8LN
ZHTFvmtgEHVAu3Vk+/OVlSxUguIyH3fEEp9GZNVunEeX1lR+EFUw93opwRQb4UXLP+vcbwwFy9J/
XufQIrwNH81b++fLglrPfl/qTNYzNT2aqgBH/K92pD8uC/ovvu9ASnydmQDN/+1lwdH5Q7pgBbS+
X+rcX1gxOXWzcCqdAuMR/gbMj1Phx8uCh5mJ2SKCuobJmJEfygyF9KhWD1551vVM7iuaE2BpHhWq
8di7w8xd2GxPU2+WO9hxOnlTf10kNnX4In9vGHKzabV2T6fSCXyrmddyFNYqsaN6TQdgoX8MSht1
nrZya7FstHHKr2vpP0UO8sGhsaw1/psj+bdT49h7r/Sp62vRrp6rp9CTyINq73JpZr4kUH97+NQL
mUNdp7ZzseBNx0XmXgrTfpAO9/cu9m7Am9JN0cTwG80b97GCmJF8HHJwsZE4OgFMBawNy6Uo3Kcp
JKcHrf/sZ+WTmIajnxoMacjuNSe/7DzOVESyHoompKJpEK0Nx6O72LdFkSBM0V5MDhuSQUegIi77
QXWq3PKZ69qVFeXJKnKm3TDRxuWheEPkhv98yjgEu10QiyVaUaDJYLPBUeewnhG3FX0AAItMJ8nP
zQjtXUhrX0ac/un9X40ZzWKJQnKHinibiBqkYeBGgoZxrZnLtRWKT2ZX3af9vCVXlK8sWVxPttjO
UX6IiekhaG6vRe8+RHUog8qen0XM0hyPTrWhVZiusyIut1Y8t5vCdOmrLTcNNObWiLKLycg+oiUn
5tWZDwIQjlgaiLgo/XMyuOZVFrr7yZN39ZUdHQQcCZHuo5iRUTM5aRu7AyttTQSrW5Kgw/RDJMt7
jgQtFWw9JsqWeMe+ClWfl59SV5SbpGN1M2tjm3kErEA9527ex8DnbDDJe9NYH65jftD2k3tZ21cq
nDYNtUQoMORBMmf2o+Wk5HCxtrMbMWaiAF1zxCFzDBKf0bbxJBACYeBgniZzbUox77yv63Dh9F0w
DtpNXI2fIV/HZu3oVLt0iI6ltsGVYTxsrTbXNdSHLxRJYDJOq/A4EzNrdm8qUKSEwCemeo9eeTO0
eaCryhqPLs+R/1Rag7WOFHJCf6kOYl9O3Ch7KndEsegXAKlA7iIec7Jbf0C3YYaIiCBaCl+cwqE1
wBiBXTKZ8L2AYw084CT0pEAx+ML1raZAGZ2823GGnWFi0idLwTQdVA0XCX2l1AoHEGfuVd1IYmKB
jUDTCI6znLkmE89WqA6m4+sQdifKdX1TKZxHwPVkhXjt4Hza8ia27WrVgAB50NWHSZRXU4gQfAAT
8s3yM3dbOBUAotzOq8BN23SjTVq6qRRnNDqKrqoduYkWbQcGkiyvpgKTmlOSHFpgpbhktlMd8hgM
efg2K6LJnOvLUDFOBbDTVNn7wog0bhLRoybTj7TnK2MyrQO+2Nm2PocwxU5hhkNNnWX3SAy++Aqw
khPPnaWYqxL1mI27gaFkFAEGWRcnzZycSwNaS4vz+moaCAUTjkgC11/CzaTwrj4My7VsQL6icbgc
mpRLpcLBMj++ixqeZsdG29tk5CTskE+cqDDCjXm5oTwgqL2iV8NMtpBv0W6tukHyxk8iBIRxTVN4
GgXAcDvMXbIpuRTtUXvT++UmTrKek0p9k9vWMYN300P9HmVXuTHM4SJUgIW1LBODbMqmSc7VZDTP
qe+0YwDOLZJ12yfHvh+oGHaDlZuQQmFB/ThuMYzL6LdZHv9AGWq8338+EwTZvzZlA1v5kzMBf/D3
MwHXH9oE0IsWZhbgC/bcP84EBqMzKSDyWKrJTAqg/J2t9H8hDmPTrjAJINNm/Y6tdFBZM2QAWo7t
5O+dCUA8/3Qm4O/RfaqYwGo0OtSZ4RtFTS3DydGMAbaSjM6o4KoBykrj6oXmr22uUX2AYOWifHbs
qlv7TlavOldzoaUAI1ptKC4WCVABx96sddguvvwuojCPaQCGaWwXGwYhV6F8B8XGurP7EsGcP6xr
BY0l0GPIDCiKTV7EtAH3wYcwk1FUUPaBGnShz5jZQXoQHq2Lp6dwBIQekuquKSPyXVrs7w1dfiqg
2SZLP9Jgvyr1CIhJAW96kxjb2TGwfUDDZdRAZoXHlXBy7BsvYWdedKJqkSX0d/ogs62sEVH0I3AV
1MG7YJLBvlMIXoOYYeuX04coxQcGq2RD373ftJB7/mQ9M12nuKh6xNUWdB9alJtI4X78mp/8Ij8j
DVx51uCutUiU5eOUzHCgurFLDS4VDjcI2qhbWdJuDFnjFif/EBmMtbptlFm1s7l/uM14O4pU7hlL
4K1yEPUgHZdlk8SaCHptOrvRaK1i7jQxd5tBXXK465ZwA0RICnUFolCyy4bxYInuFRUAWWh1Xeq5
Ny3qAuXp86OX0eW/nloaJ1U3LTSJPbvxT5FWfVn6yIEAG5IAQzTujEmFiZds2uUxJ7M6TnxKOHN0
Y6XmAw1TUDwEH3vTi1YLXP3Lgv25yle+39/3IpNXXVdUF4ueNwS7tXRfOWUwJvqtwY5EeRQTdsHR
ZJXq8aM6stD7772VpbFMWpLaIvqWaeOUeGs0rbyWSRiuRCt3pmAGpQYEOyYArP20JzFNaqzgLWbe
RJhMT5UTf3at/BRqzPUrDFWhbjokvlr/ZuctG5NtvWhm9qpVFjds6e5m3y6BgJO9qXPgcbECT/2y
1UyrAKH1tnORbiZyK0WWnkToIg9C44W06C5HiqlnpRfgaxEryp200VP8FoOWfDKE9uyYtPOj6TaL
utM8aPecg1+7jHNXQ8G07rUjYYkr3QofpiI5zmPOpxWajzIn9hU14T3SmmOX8A5VpmTAY0WIKPX8
q8K0X0J3fBA6et5MUi2eqJoxxFN/b23/dmySK6k0kaHCj93hPBr2rTXzWvIwvmla40ALdW0zFEtS
He/FeKw0513O3aOHS1UWDoiQcyattrdQ/FU6pGbazs9O73m7RGo5HnP63ixzVBNqjRK24hhCxCvr
IW6emza/II53mVrmIdKXx76AuRkwG6xrazxUjaN0Soo+0rJbEJ13/Dz089OsQevt7VSSP6Dp7gVh
Rw8CAQ8jofxlv9gcmZMqT9BjVOupBQ01YZDUissqZZRBag/XZa9zoKDhiVx+vpE6UKyh13udt4A1
6caaxWXS+58cYfBsueLBFPalZdfJ2upBSoYZeXKplrgmWqhd6HemX2wzN+LQWrX5qoUH83Fs7nNO
ekyA5eSed4IM2/TUL/LO0O13NwcbkKZ3Sec13EmpadukzW4NF6qrlpSaZ9N9N7GmBHQyqHyIirGW
yoAdY9pmJd2mYAuU9MO7pEatHzfGfREPOPENN/5URdqVwNAQ0DGkvBI/jdFwbvxonzvel2XieNVx
mYEH0uGz6orIR+to/gplQ/6UA77Jy8WUM0mTQWWYnaPjNfe+Yj0bRX3itnrF4o6c1B4s+svLczjQ
43CH9l10Wr1e+ubajrOrCJzUAiudwEsNxZlaRXORLWbA7LAs6DvnBqz0sveR1xDKLXn9deCBrepa
AwCoSFaHuWorDrL3FpBrHDLmBug1UfRrSjWQ32Z59hUYW8+PuTPeVGNyzfPAmwBCm4PSLg7Hp06R
ZYNOw0nxthP56QIA1xDtBa6lo61PDwWR9RBQVwDsVj5xNI//MSmWl+o7VK/ie31BAzpWzG+hwwWz
xm7GuNoXYMGN4oNdQGGZINCvFDvsKIoYlBieuEoOiyKMtRQvylfmWNHH0Ifmgdp7vPEVm1wqSjnV
GyJ9ilyWU7wFekz+qdT8VqlBQfCfT2UIwsgF/+RIxp/6/UhmGr8wkFo3sEMipvt6uPrjSGb+QsCE
OR14Le2vXMc3RzJqcfwroii/iRW+qUir+jEYCZ6Rvz/0SdW2f+jp4mGg4/x1MLZHffr7IxnzbQlC
ClK96VK582ERSPLfh8jqwjNiFyvPYV81c++FClvqo7vZZrBgCkDAZZ4uErpkHq2sToPe7+xN6+T6
Xh9TMLaJ3HY/lG/GvEgSVvHbUrfTJrcQMTatOGY0bbmGJddJjc1EYoet8pZ8u4dRxZsXvpU+kC3F
6BDpWMqUKY2sftR02SYS3bEvKlYVN34aDIGyutiJjBhtOW2YgrDDccttUc918gLlzQLkXorywLWU
OdxZiSyqQyrsoxcArlve/KS5EYIDRA/YB91uXpt6l1329lJu0SgVtNiyEoNZ/cUK5VufUPvONSLu
8welFGeDxS0YNDKcWU42z7SfqkKSg6DGs7dpCK2pdzG/o2K1t0rKXwuGhrUxTEdrIV9tNssHXa1t
jycApfbOoHvWVrgcrDZoEK0BO9IWp7C7bgbro2PHS0dgfh8L8GKdCkiwxUG/xvkT/sPtcCzH957C
xrKs2udwZFOZ3GdwZZyBbqpGP0bwZnhbsP84+c3AR9orJE2f4qbYdZrhbT1RXRhO/l60jGPBu3kC
eTzh4qKjCe4pLighNjfk4qvwlbSpNIPWKmVxoy3dXO1yAwRN6imTE5bELwl6p59M1NFThEM6RibN
aC6WH1+uR+WZjhFOU6jAPK0c1Pkw7bs5urKL0Auo583bGmH1qMG9sSu9CN2/75bpxhiMVwvFtY7q
OlbOa+Fgv3bRYMfmdDEqL3YWIdmGbcKRyBnGG/DzOWzBCTptREV7V/m1MQfez8q4DYREWkp651DZ
uCliE1hwNn3UwRemGLs75e5e3C9GUtpot7rHQdm98wrPd4YDLFXmbwcFeIMPaFJO8AY76Voro08y
rRd62fOy9UYiXBzEd6bWvjDlfF8qy3ihfOM40DgGYCDvlIvcwC80KTs5E8SuZ3TlTadzUcFfniAy
d8KIearKbd6GpEhQMmIM2mfKfi668qLgTr6K8Lv1ypAeifRLizK9Qp0+tPCvGat+OidXnqkfK2VZ
p8h2LJDRrdC+DBxH2faUkz3psLPXE6KhThnbTdTtReq9LG4Z5Jlz0FG7W8rxvmhcjrTII7htOg8u
IviJUJruj8+1MsRXqOKXqT6Gyh0fIpEXoLboS+80IQ4RknnNb28iXXxU9nKVI6FHtN6vF4GXvlKG
elyOt8MAqor+SvYx02Bw2afKas+3R7y2iO4jZbwPPTzaMRJ8cPCjUH3+ryv6PwUH8y9hpUvo6Y/m
4yc2IfXn/tjcdLKXFkkP1VKgdMC+98fmZuAG8iyXsgFUL52If9cbxC/4fQSWYrZDRUf+3mt12A6x
DBP/cKEylIPobzQgGATx484G2qg6GZ5lMWDCUlzUt8WGvMpsEvhUzXNrGbYV5QJC8O6LyzCp0u2f
zE48pMsN98wd9eDArL2bvpMPYbak6Lpca41Cgyni86U4ceH4ZI3pQ84NYmNYTbJDJceRlEshAxkY
YAKeL1HEVH25dYyG4QJw62tu3a9aMVTvRlfEK9iZMUjsONwuXPHGGDt+KJuLAtfrKrGip9wpWdD9
l0XrVlnl4YRgosucpLCW1lsjjGdKhioHOCnpiFLApuWmqlXpDYeLk5fDE+P5Xln14iODc8LAGJky
oFfJQ9pnr/rsLgc7l4ew1cqt8Ng3avOV+vEV5P16Fu6d3+ygUoLaLxmekowPfRS/eLFG+rB8ahtN
XpDp2vjYK/JiuDIoIcCNMYArvkK0uq7nBmY+jj6XVce0laIm5zZe+aQLSTuaB5sTeN0RtyvXpnkn
68vG3VZd+lKbUb3iV9y1LdkQEP5NZiOIZzoSocPE9B5CO1yVhBf2A3O71GjFXRJqJ5GX477saLeE
cR+MZXJbgQcxVmzZ2jCSa2qyUFnZ50aLxk1nttUqol/a0Bqhm9tfz6DbeqKLlU7SnHgJ+2oc2xdZ
wc/LMlLtkg3Wbd71ZY43+DRPETqCsk3grUJ/5fXuaewAxir/ik1gIxJHNZyT0yjpf9oc7JEQrzpb
ZQ90Z8C1D/opF0UljdglSNIQOXTbds2wAUQ8Llv7HKMJ7fLlmmz+G0n0g9TQRfUt4h1dY7azOd/Q
l23XLsEHUVsMYUjqNTfG28LIMd7wyVFCeHDKcVXnWRPo6LZPtWYcMq+8RGLxOuTTY9RiX6i9EcXt
jCJTiJKYYp+s58bIN2nSHagL01AAJOtjhqMtwH/rOMpvwta26GpN+9zoym0jub8vM5q5lFnRgPEI
lL0vfB7oDquz3UTbVOg7x8h0NKbc2geaJHNm3SVL8ZoZ8bEzxstyMYkQd8VF2HYnHa2CmfcUEPTq
4A3ee9LKgx/JnbDNbCW89h6NzF3Va+QWxUEvyou+sT9KdpCU0QyaXrwWbfYgUoor2cI0Nas5Wn15
2Q+p6utPN1k+7KYwPtlKZbWM+8ovD0ZjbxlQsa8lQW5bp942W8cqG49jq1+jBc62/YKQFHphREuy
au1li6L5TMUNFcviXjS+eQsbe0zjYW+n3NTnLGe892Cebb25lJV7LqrhUxsz7MKT5l1btk+SlFA4
JZd0LjeRnG8LPeNsypc+zRCGjPGTTN2dI0kdidg7zA7HWURmPB3dpVUwGhTp942dyIMtzJtcG0LO
WPU66pvD4OvPjK9TSQB6fr7Z346Rw1TMgaC3S/GqWPJnPK1ECagJAWiagHJMYyourUy8chTdjRo3
dn/EdDW8FE2/bx39y9JKkGWEQEsbPsck8lWKAzfbrRl3zAD0xsyE4XJY+ybLIu2SL0EjsqMv+5Pt
c37pemplsNRIoc/2kHECmAlqlfJyDO2cplShdGjeSmuyK033d3XpX5HcTfCaTtu81o0gdozHmEnj
TJ59slLtygiTu0V9hJbnvFcM1ihBH1DtHOmVPk36cLYM40pn5nSEwTdo5vHN1ABp4koyXgVLVt3x
WTSGsy16GaMNATizrMuZ9B2dXXXwSHYMkBs3rTAeoW8vanJYUZQwNUK7wcTDyCz73pV9EMfLe5K5
d4vTyVMBhH0g3nZbce7XCj0kIJ8F9uK8GpXYuWa4sq3R2TNEz2acxmTu08nmuyw/Ujow6G2UBMud
T4bhmlvDoLGkx9bOrane8lBUaxMgbyWkvm/z/rkd47u6WE5zL+/Dpt0jzpJKGPVYUGXmNd8zmuap
q6MBs+o1iS/EZuigEkGhJZ92jl2ex07SMlzajSeGvZYtu27BjdYSrsqMfSN93hqmhKMXWUVUrUjt
32FU9wId2nzjNWO6GgyqIJa4bDP2+yBrqVwG/VjHjw7iDhZ/pmqZBba+HPHQNqphDOuFCWLewLdz
OTEml/p5w0siJI5idt65svCvPapGq7wbimDRKPCZsDawQaiAhj5/p0QekPFNtuwwHGdhnzeVmVFl
BMr5qr/W4s2EmRpLkD9cJNlEaRgnWIHSACEQM2UomK6tpDFWgglwgZNlT0MpTVq3otkwdoAhu1iL
tVWeCG5puTyNOAjORW10z4nhgu5DEmjb3hudm3Zk0k5G/JMUZGZ7OIYYYBNU45KBPGun0WougIiv
TS/d2hMtPXN5ZEzUraybY19jkGao69rMmHRCGfg5xIO1duUYNAbRuyGddr0dpoHVde9D0q8Nztp2
aF0O48wmE2/yfth2ITdXq72vdKgsz43eWFkfdavZh2N01p3pI0ysY77wNvlRHPAglfRKrOdqcY6w
OpcElqy1wE2eZOkWy/PF0LNFN3PvbX6d1uls0KnecnaOqTYth0qKkzPFe6NZSJ5Vh9wfV06pp8xh
oE0gEgsYIr/rJjaMcp439Nfvi2wsuBanR4DRg65rl7B0a45CO3OqD6S2d1oaHaRbH2XVPQG0HLPC
wPfMTmt529SrPoXJwtxGeTOFnBRmp2LeZxQ03MicuvvII/+kFcW65aGbpv6InO2TsHRJ9qlACBHf
NmYSYEZb+3Yyr6xc7KNJv2vVaOiuQG/IEAmsQaBWzYipQ24wUik1W8vAGWOf9+bz4NkY1xhv4TDs
yWLwDkeLWt0qalb39Bl4fC0ZikQF3wx8+sHcuLODViWPvo/pz1uucTREzLUy7meiglZSPZWG0De0
Q2N6r/HnsCnRFSRjH3Cnuhod/SqUFhOaOhHESaXGLgOnxwc/1v0tWqbjkC4f1exckWhUifoMF7nJ
wyLL0eHq7HLNY/xUEM7CO5cGNz+bQh+TVQFi9JvMpvtER2WtSWvb4olj/lKEvKLV8300ixdnTOY7
n5VmA4N9miYPFwQQ+eQsN5UmXkwzCbdVXD/rKBZWuui3aTtk66LlVXshoRS19OCWIiRH2VfSjl47
VXpJjnebSm05a2ZzrAyJNUpQ7qmb/MtgTAiZ5rrY2PzTnDLPdajvZDwxKWDJD6PLkK+5609Lo3Zt
x36eDL5oCcqmTTMBlNezzTSL+CpFjGxDAB3caGlPTLQi9jpZTwCH8mKktO632Yse071XX3dhcS1E
1pltU0onL15Ecbayb4xxik8+uijPqA6y0u+ZhrhaSodi8NjvJFCFnqenWurUdG1mATn5l96DYGBU
QiAt7z7lnh13yTEdBOfMcSKP2j3PRn3LnEMm11buVWJI5mol1OztmQFtyWOd+S/2ZN1SAyyPjoVy
r5ei3Jqd/bLkyIxaQ1MyzGJXDPzFGmhKidBpU9Fl3CcZIx/bomJ3xASnW3fICE2uEU2jQTVns20i
ArGEFphGTOp4/U0x8/rXYMe382S4in1TGvRUqg2swySQb9A2Jnby/QXKjHUd12URn5OqWhXFZUv+
ybfv/vqHfJ8p+f2HCMNmkocFAqpucd+0hNNwalDAtfFZnw9acakjZdPs+268/+sfw030z6/FFQTp
VEKGgUHf/5iQrjS3AJ2Du/llLB8067/Ny/jz34/TyKBZrnPZdH58r1p/ptsq8uxcjDxolEspG/9R
WP7JZ/GT39/Fl8Q7xBvlIF74/vcn1oItxSGPS+std64d//TXf//3tN5vH8M3788Pn7UtUpAXllKA
0B2G0NTYNu7GhhD7YC7u3/5R8AeCCUW2Q+3b/+GjyDxwINw/6ZlUe0+Tnjac4u3WbMNa9Wtj4j+O
MVG/9r8TS19f1ncfi3rEv3m6dCNmUgXTUOF1137LiW7NV4s1dR62f/9Fffv5//CiCpd6Z+/9+oOs
eIOVgLHD7CNqK67+y7P2k++l6xuGTqqLIeOmSWT12xdlMQC6ZOMtzi0jBWBJp8AJP/31y/nZ4/bN
j/jxcVtah7OSoxfnwntLwhdb+z88zjCmtmv7cBlYP75/CUmNfM3WzOJML5+wGUaa/8PiRSlUF3D9
fG2YHvb9Tyi0gvO9MBAiuW+je0XDgAjVf1m7fvKl4UuJXpN4rkoVUOP69oPwKbYWzI2BquTgN6+9
emU4NwMBp2qzWP/lSf7JzwLBwbZiuMyGpP70/c+CIqfIljjFOVJ3aig2bIEBbueSM9bt1w//n5Kn
Us39sehu3rq3f30wSrKbr0h1/+//nN7a9qP4czdP/anfC54AVmyKPFUIXGBavtOn40lX/zelEfEb
Wf0bYGWDXhEEFyq9ydbwtRb6e83Tx2tHsBsAi3/pefhy/kbNE1E7T8G/1zuVJjX4xfhvk22InuIP
gNXQ+0qWJMbzPFqtG0RDmAD3uf68kXOMbM4Mj92SSiuYk2FIH/E1EIY2dC/uDtUSKyJQLOmpnf2R
4/hkdgvkT1WUsCuFJZxPkxgxWCJ/DVXDokE0I6dmPwlD+l98nRrRHcIoxJJd7NrhJgSuJAxZlSM9
HFRU2hLUQprIM5t0BF5ZSsOmu9+jWA5yE8dkYLsGvobQs6pN16fGDtMpvAflDNt5yAyIpi0UA9Cx
QSCkEHa3r7Rh3mP76pMvo+VNW5l4VDGlTPIuoGit76N0UjMcvOw9pn2FQms0IDureQi0jAMkDTMm
xUZphG9bgwh1Gud9cFpIoiW3dp0+cxxxamnvnDn6IkYN50rhfSEcaXO1JljiVvy7SmOAlTb0zW5y
y/EYSSgvT433lDGEZtaBD2eNVrwjHUT2bHRMSMiR4OCT07iGOMxgR7ii70Fo6WSEY/FmeNmyEksp
LyqGAV3bM3h3Nhn+zquKj9RdnJ2VYbGposHe4QjnygeJuUolOKnt9Nl1quNoRedyyCvkyXldj4Gn
QTtJz/qIqADvnYYYYq9kMrm06wCnLoIWob1XDK3fiyXjGuqX2JZR/rhjiFYI7R1Xw2Qgl9nAb2Tk
93Zlmbd4t/RkYzIViUHpFD4lndaLdBzWMRaPDWFORHnuON9wT3J2o18ys0TBXUx64cbb2N5q7MMh
KBb0h7lnPWdFSjS+xtrTKJ4YY7FcISGgjlENNfoOK2GyvahvJGjdapJjd+Pi/KQkadTGepnnFMLX
zLYL456CFiSX6t1UBZPh4n7LgUDCqUj3RkZ9mc5zvv9n2fw1lveXy+bmI/vXVdn81Bn2zcrJdAkH
yEBnGM2vYoxvWkU2+i82NtpBv2Xsfucg1CBPXYeRoFtkf+0w/dEtYlG1PL4xqCyE5XxNxP+NlfP7
I5VaejmEqLO1hxDD5gT//e7ahUizs6UwrwsUMXoan1xJ8WiYg282lJ+c4s2vOMW/F2heCcFDMjY+
XTNmNGLu/f4HMb0txZiUjteOQ6+3Y1iQHThLj/4WdXVpMlBAG108MF159uf+VKfVg2s2zDbCzrge
mYEWpI2RHofG8TdIKRhkOKPrRlqs8oHN89hWROW9iPVWqb6iNrv7/+ydR3PbWBpFfxG6kMOWAMEg
kqJy2KAUkXN4AH79HGja3bY7Ve97MVMzZcukGN77wr3nVjygq1bZmeqe5anFLsquVcZ6ZP4w68gX
jJR9UWPEd4CcuQVaLc8xzC1I8sIPzMHnvum8Hoee16Yjy2r9QbItBjy9Q9C29sisrXTxo9xwOV5L
+UiOBoOLWGZ4IEDnkP25Iw3oJII8XOeOcsdCOFvJjPk8dVk390N3RaiQTzTpg2M3H2poPYf59NQs
rpAUWrBHSN8Z6dwFEyzES5axNZ0AWzHyRVdrmrvSDLfxIhrMouiC3eIrK7XUH3K5wtqPoy8rx8qT
+oVXhS7fV7r5WcnzAdd0cqnbjQ+8nbgw3Ma1mT73lnLXtOERs3m/KpXp2qr7jeGoW4wg0qpjY8YT
1ZhSEtboRqpxI01V5uZdbbuW8+x0GDK00etrFlttr8NcBniEUtvi/WPIbPWf9oQ1RjaNI/cFy/QC
JluNJEWxppMqIPJPaGBEpMR+qmRn0p0SX9PEZs71I3MhwhoUfeMMvLaR4M6STNDoVe08F2DPoNdd
l8U8edrc3jO1JqucpJ+V1mU3reh3ipEOXqPJb3LGwjAU030WxwY5fPOlCg0AtlcyEErUvCuZ+q4y
43fTUdmWmbPjEFfQnYgN8LqrnNhGbjnzYGlz4ZpZ8TYn1WNktZGLbPsWxUfi6bWVbkXPOButqKoF
PmwqMof4iNEV6SS0KGNUvxSsBHBZ2xJLBcMcweHLIzsVMkEaUq50wbxItoSv2GIBUTXjPssMWJOT
gvAbG4SuvQvZ2bEr8IcZVwzJsNVwnxragssSCmnaxpIa0I9KzIJL3WkMhhTIc93i+bHrF3RL10oq
fcDhAJ+OFqHk0wggDWl32HawRcFki1TZSbkB6o0gA7tBBsSkgn83hU3VDvFCnBFPZkL4xBhWxzCW
A5q9keZ/CfliRJVgP+3arRDdIxmWODacxB0SmSy08piafGW1Ij2jnrjIJGk3ZxHobdTo63mcYBAy
NjQFyZSJIFN87JVrsmU2I4kgKYomd+zBhZnVI9nXAIB3kd4QvyZtWeW+jIn8PBsku3BxtvQKz5l+
M4gWcFu/r0pqEUaCCWtfFRoB60OdzSxZm0LTt4Oq+Y0SocyZq2GjWUnnywrowHDQnwsdXAUCTy+Q
mgZ7a7XpleJyKsVTUyYg5Cb9nuxg+0gxpNe3ZJO6IYLuYFtCTsj+6Rj9kdG8nKJcFzqSn0UlICuL
l/v7xosaU9OZfk5nMbnWSt8E+/GmPO4SFk8vxUO1TndgulbBBaqb3ks22u7vj/Efq+xfH94hqwKQ
iGogb/jx4ZugNwbJ7OfzYL1Uwc6RAaiPz1KZ/0PP92ePg0oAoCaNrC7/PFRyOu6smLC1sxIfCDom
7vzDCXdAhP7hcX68/f7/+/B6cgcy6rOAAv/4+9QYzoxeieSzaVw0JrMSLEj6w9+/ZvqfvWff/zI/
PUgfyXKr4no+D357z4J/PWzld9tDwF0ecz5jq+tmjW3bV7d3JyAQq9NwjP37dh2sr5K9WG0brzl0
Hn/RK33+s77/++en/jQq+vpMYZBhAmkwZSNr/McXISMwFvmarJypk0/BlbyWj8pDuCdjlZWpN632
T8pmdE+1L7YGuQkXCPquQBf6ONXdr6fyX/+9sNb/uv8+vjRxVf6Znnb5ue86cA18PBQ1k+kRR8B3
daT8i+YYLIGpBlGS8Sn/5nD6gquxSv0OOf+tAbfozcEmEatC3Yfu6N+5nhWVT8nv9R0NODNHMG6M
gzRH52n8dDQkjZSq1qxGl7k86wHsoM54HhU5sndGUxThuZQEDuO+Np/NiMTfrSMViBXFKHGOzlZ7
70R6eeM4sTG7idYLfLOF1T20GjpY0j8ya21GCZ7XWLofVcI/CEZic6WqKQtjE78kWnS08f1g3obZ
9CLC+QX3AmDI8dpsbRJhkWeoWR5fqpOF2jA11+MQeL3UkI2csG9uWa6GzdASEzO9pHWDcUog3ewB
f69aBcIkXJUMxbrtQ14ZV1IBxtHoiYsMuRMGEWyr3LzWB+M6pwDxUrKpp2A8zTa4HWdQXuqivqk0
9TmyudLKgG0cjmcsDOo8b+zYgVA5lGhcdOM6Ma0DUuBHNU/RlBTZgdyXiz5K+8Wbgh22tZSV3oSc
F6Ky3WpOr4e6Atc0V0eNXHgQ+lxXJHiAyiEhA/j+IFYNiDq308bIHQkFOhQ0o7NVPRJwM7itQrnY
y83H3DYTObCQYe2232ZUbcSGbJWUhYzFVmeSHFfXO1ZhqopqFwxthASGJ6Vg/xxssNQF/0uHtA35
pbwvovTdctIrWwd/U2VvhLLfmuWChesS/RAYwS6uFkMwYW2DYUVIcwFbhL15CBcBWpnp13iZb1mb
AR83rHezLC7mSbuuJhv9iGxD1C8gd1bDgpUPx4siVhini2FFobvJYkJg1EWehbJqsUPfJ2abeSZ6
E18Z47VZsRIz8IVKArxUJNs+ddtw6nHHQ+tv7W7V6LsuNYGfL9CPJu2v5mEwV4YWkVjXUzRJsuYl
U38HMOI1GBA7YODucanKPhLbBwiEj1YQEkulvCD2ZpWwPA15uJYm26+D+TIjB6eNVfKByJGZypM+
9IfMSc8IjJ5jEPp+kc6sIUY2sehKup1cTRcYR0aGrMmhBBBg50iVINk+kNNNcW6I2FVAN7tSQ/ks
0pNR5Zea01zojnkeWqaz3SIFDi3dl7T6GeCqFxkqyWsZ4ODS2leDeTktmrXC7C8kJ/DDoS49+Bi3
dmK9mtJ4bMz+Qw3y27azdtAVD8lAgShHFgwU4uWRJfA+MFd4hwvCV2xmqGKPWc8qz7zkl0fiJqLH
GnYTpW5+qQbKuTZ0v3bSV6IHXRgFQJmiFFixlp+7vrQPhRZdWHlXPEQmlXw2sQxE85RdSFlPivOi
LAuQX7pWnr8wpUnRpGdXCqKdTCrZPKDUXlHebR17PmRFd+wVrPi9/kSM7EunEcxq8KBCvUpQGWSB
A1y2u2wzeaNTCWoErPpxgAzeMAlH0lFLTCkLXBV+tQ64bDKiPbHb2kWsNKQojCkUkZFFLwdEAcRY
1eghnbrbKon90OcFFvCSuNfFu9eCipS7DQ44dHFFiYhx1NUzkcLAlmLlFPHFcnnPjcsCKQKI14Y3
p7PGh7kG79YoSnaR6Imx6XgJ1iKTsq3Cun5VVfibViGJgfJqMLto20ka8zw14qGnSlZ8KYGE/981
/f95D6XPX1/TPnTd4s98yPzUb5c04EHG3TYDGg4qeZHe/qYLhk3C5cye1JT5Gwb39++3NP8fLbHy
Nc/5Gq5/u6UN6KhIeS3DUpmgsDn8N2Ny64+mFweBsUPMjMVmm+3TT/1DmoPPHrvAOiH634ddPRTH
TqgTcVH5UFUEeMc9N5JApomOMRzvkTqgvCmdAv5yl0RPo9bekEA+eVGLyIhsxE0tQo/GjFaVCC+v
ZEq5Kh1CM0E80OUZ8XqSWmKHCQdGGt3ROEtPDEGvAcI/iL5U0qsOIvsNsG7ggyNIJG77DPtaKMfS
KQ0KG3HnwKA2l8KnqeqicxBEsXmOssk6G4VN961jDNFWJiST0jOCXC5uTUtiP4g5T6zbUQm6y1pq
o/i+x306kGoiHlIVbTFDnXIbR0ky4TttjuSl70VvXBuhPkE0Lu7lObslnY/7Oqre1AWNYkb9K+Hc
sdt0zJsV7TVacqNRJJzMXoV2Mt4jHjZcDRe0NEielON7CxciiM631LNRyCBpsPS1okcPAChsBgcp
jAbjJrXFZZJUeGqk+F11rNu81z9kPeGayHlRDJtxr7bA5CBybAX//koNq/SZADUmRSLeyjNNe73M
XvLMvq0zRfXLIkWWoXUSSW/qNoIoVQwD43cR77SI+snIIwvstjWvWjkt1ihribeXp71WqVeB2ufu
rLFvK3R1W6ZMHlB4CdchMHM3DUSkSb38LpeOZ/ctu2uuc2gb7SYvnJcwKi9Mx7pouX+IaYPtDRvx
xgpAXDvEdI+B9G44s5/J4w5s1SlsoKBD9/eqZja3eUGF0AbVZ1fSqpsx8rteyt9E5EAFnIpHPtId
vozB2rICSakQjStdQTbV2eWpMxIJs3RwzhzmaiE5JWGkkM2ICorqkTXH2BguvH7kxDhNI6N87BPu
iTLs9h3vYNf2PhDaeDMaQHZMuS7XlFK7fJgux9p4UNru5HTxbdKVqRvL7X0eRtcReeZwPPqNEprS
Dqeithqi5nqyglvw5Fdz3fMVUeLKA5Abrpw4RgDUBOc+mLdTFkg7bZTemloiEU6vUoCKODNnhfhN
0QMiDo12Y1uy7hHfPu9L1LXJVE5+aRuL3L7Q3HzIFqCoOACseQfmu49Zw+Mwi49mAmsylq0L8LcK
ZRyR3BOeM4UvgKcryUsjV8KfnO7SafTHQYoQLfPJWiVTbiKu1T5hNs6rtCqv+xlgYW/htQLPa1kj
Ou+ipKxKhztVzMVW0vl0BouPuc3ij2xSZ9RD1qMhjBsahHE3lCljyEbdwUbQPM22D9EgqQQyMDWU
c133RZ1cxqEJtC29zrPhFEZ8tkVEjSuSFHikc0amVPtmholeVIJRJRLKVV2Yt0KheJUb+TNQ9WdZ
y97A1O5qoaFnCjtM9JL6obfSfZug587z/D4XnbpWHbjLU6dsYjN/Kif9AtXbhNgLLxLgZQvt+pWW
2JWF6Y3QwCmqXzUBLVk1EA0uoUy9UR8ph7r1nIIUGObXRlOfasQKW0em4q4c6zz3AxqrLqJUb4gn
QPFH8mM0vZHr0u5kq7uJig7VciVn24mcRFaUSJwInniuTP2myztQyYSK+0ofCK/pmSkiQSqI+ZFP
Q08YDGO+j2GeHI8C9pgk6uANQWlt07RwQNwh/nT6GkeZTDFHCsEbs9bcVZCyb2XUl6d4NJBwtvXI
DFyNPE2tr0WBa3eyQSgpRNunMfxNzY5JMtImLzaSyZuSqDrmlthNefCcFyNORpTPazyfyOE0Pq1V
k7yZVkE1vkgZjYLyUdemrVk09a6sdD+Ft+RRKma+jWJgxXk4b8jwfW5sdMmNBEE+2JT41K8iKTYp
JWOH9BwhE9iXOz4Z17jpSCW7Mgu18q0a+maoHRIrBhKVJ/YGOARpW+B73WCYpn3U9+8pIVM+NZ22
VyttEelB42EZWmyjopjvZpHz3ohJ8o2l4KeT41xV6TOMbthpOX5CRbGxrxnDRZg5+8CZL6R4zhfd
XOMH+GZIoveILLmxJQrhuUWBH/XAp/phOld9dFuoTKKp3zOfIKt41UdSQ0PbvZl1Tn0IOH0z2mw0
JiXsXMKVKOqz6NzFLGCCWfbSMh42VTVfYEM9EM/lYaU7Dw3mLi1ZEoABc6xiqzkBrn2z4YVlbYAm
03JgM5gSalZYpaVmT/S7IXPImfZKlgXb7vSlTKUz0bY3aBVLV2bshphOMWl1qo8Ml1+Yy8Tmajoe
1ZjddE/+hScy+amKQQ4MfXwKHDw+zBMGT9QYfcogvShsPK/JmIT3dZQRqRU8mRAEVipfXSvLPwkM
eTI0CdZhd6q+xuNd/hYYqrNWHGbVTp7dU+uz/IkZfqskIc9yJXtSFh9RheN/KdOLrKES0blTDWng
AFOUj9FuEfUHBzuY8o0cT3vMmQ4xvkRuG8VDPjWncUlQNqecmNEE107QIGtXLowsf5cq+5OBQ78y
wYYUtbQN2uSDbZDf0tBuWqtat4R5rkQp3eOTOczhRZ5g0O8t0E7pi9Mnr1HL4TuwvE4ai7BFIFVG
Z4duaxIX2WImsFLenpwNf8ImfJz5PMeBCgtC1T80cJUr9mI3cRLylznAB8i6cZPRz0MSdIHWxRsq
t2cqsB2Jr3SK0AG0zqRdKXO3h9Vs1jaEXvGgaPzj1ViuRIAgE1TLRsu7Nz0kZ80iDbUCsyRbOaip
4l7RuPCcItyghM2JfNROrBruGiEwX7aQDpcQ9yp2DvDlWauBQGMkAmA3MdgqI4gjNwIYw6IxVkS+
wlIPmQkeJQ0SX51iZuMDoe4mH2p+NbvApkzdSQJvvJYKbakemp2lRXsxJZ+RYsR+KOzLSUk25bxp
HQLxUDhMhaeMB1tKb6MMZYCk67nLXnSTJAMheFgEYNW/arbwTRG+2iaOFhXpnBTIEW9W/UJOG3ke
qkgMLuKhueDrgydghADa2fdKZUHmKld226xt+MLZViVhZ+hSbxFaXBUmIxJXLmITNpZuKNJDNJSl
TMx50TZ7lkAiB/YiBnvA8zVI09XEu1PIRix5esA6IZwtEXu2k+5LwWJqTCW+bVKzmTGEkJEs+ZKV
YBZPJeHHeunpedp7wVA+kmExrwubvf4whQrSlOROa4oboZt4oDUyTpLmQY8JBcgpvKQAS5Rj0KRa
+guhAOdxMU1Fi30qWoxU1F2tm6aYq4zFZiVBA+E6ocVMZS42VAAm79/y3lGb9w6yFSc61A2s0AwP
19hZpwFPl4O3C+GisypweyloZlpHP5BpQHVTVq/cLeQq4RBLcYq1i2Ws6+WPeTGRzYudbBrsLSOM
MzhCEg4i3MC0EgxJMKGZQfHeiHyrLfY04oVmv8axptfZtZqiflisbDj4xJZz9+DgcrOwALnYedtt
P/CNXqxw7ZcpbrHHtfjkmsUwR7rRplosdI6SPqc1XpfoMq1SToCJgaLGwBHgqGMPJ0jdNdrk7jI3
kncSopihk4oqMO+VoXwyIIsyzTvp6qUJn0aaa69ZDH8Dzr8Ud2OHE7Czuju8U+yNUNfY6FxwDLIm
c6l7TxNOwrhCGL5YCzU8hvNiNkxwHfIE76KFZ2FRC66jxZrIqfCsL2bFfMajVOJfHBcjY/tlaczn
o1hMjjVux2qQWWQRdY0cJl3skAMptTn+yAyfZLz4JRfj5H8N/VdDbzCl/uuG/rbPXpqPP+relp/6
raFngm6jOGVohEyCBcnvDf2CXKbHt/n2oYxDkfp7Q2/+AuTLsujz5V/FbT94fQHVWDbkMU1Z6KX/
Qr0B2/GnsTsPvCBLeQ6KrtiOvGy4vtP5hkEt10Ve9qcZ5ONqjPtnbGA4MtIOYdOQeVOTPYBOid2p
DI5xgxHSUETrNsVwzttyR+UgrVoDqw7RJIBHY0DCpKZbs+DEiG9kOX1n6Z5i6x+sBT2aY0ZVsTLC
YmYCF7p5i3NolB/EbD6rrf7o1IikbIZv6HNJGnLQN2DLkIDkRxExQ0BLQzq7GAOJYRfP1VTeDREU
mLJrKzcwzfum7nbFWDx0jvQQFNNFZFqXmhYfhzQ6dGX83JY2JSR1dqMZb5kT2uucX4xdb2xuVBWX
pFI+5ZM8rfUEj03ZsQyuM7G1HXE3qVWzDjvh6/qMITCBYq4LODapZL/jIDM8OzMPbZfd4nlKXTs0
1kZqX1OOvtetc44NGg+1RkEgL5DIQIiTXQ2P9M5vsJKeglq9bMviTSdKgaS6Jlz3MIW3LddwWDmM
GdoVPsbnTO2GdZXZlQdmLFuJqnwTinNMJSyK1C4C1BQDxEmn8o1raAoMhg5dC9ZdDw6M7r05pghl
9ezLjdiHjrMNVeN6mofPWE8+rLy51eJwE2jzYx5SssoWT5I3yZEbYyUEnZAqJ7jNxtq8Mof2SFv9
mSHfZrMtb0roh27fsNHOZfVBD41rvcMxC5X6Vg/Vz141h90ULz9u9L2va/1jTuBZy3CE+tz0+64n
k6rvko1pZk+lnqS+WvUnNTLoyFJ4G9jLjJWsS8j7Ul+2gHEiSdpAugCfllYMyCveNSLmEE7g3/4a
vCzwL4iq7SZoiYMn8X4/g/aAegcEwhDztZUhrSsMvyd+3KX1hyadxg1q55EiZG7hefZ84pDhSa49
8yGeWt7DXK1CfInzDSIMHrWwSUkf/EDub2Zb2zNy0FaWmhWrFqarB92L8USfvnXl+GgXcbeyzOpV
VrgQijKAZQvVU8jx1qwBZ5dStJULKfEkC52ELJcbCBobRY57t5UlZ9tFAo/WYH/A2z3YYzlQguGB
apyOsFfsZCqt45og8LuyNvaUjYAniQlZmVr32vZORbdLvc6iZz7no6le6Ex4PHjjLMazr3lWymSL
OU0zrJuveRcvA7MvtVssd2YMjcT8mo6RrsWkTO8qpmYOq6EImFhunaWvudpUx9FZq8fwiVi4NUNx
LFd6pAenCv0Hls6ewfm4ko1wG1lOeBPVsuSGjjFekZq8D8I61tbggOG6MYuYvdE223rXW3JAAmI8
dhh6adVzD5a3CxzvCuPIWG9Iq1AfU4FH5ZgVFfEmSRYpHjftmxz2WLVTcwJLRbELimwdACoG8Bqr
Vngrd1bWPqkY20hV19g9Eo6em8FzasSRfpRVhoYwREdWBv9dl/+ffzMO/uvrcpN9FH+iEl8W0d9u
S5hPNnuRJQZVh7P9g0pcJWsAMTjEJcNgi43x4tv42/mF+Q+S7W8cTv7o2/jbQeuo8m/xX4sZy/x3
CWDmj+4OltR4FjAT8G/atq4v/9wPt2UxtZY69rZzqebNRL2ozNWm+eL4aFIRqWsjytvg2WGBdKV9
UX/yBQA0QwIyE+fQFE5Kd5W+psDopmV1qXahP+k69LFKw4cL82jm+tLqdT84V0x1P4nii12WgnSP
6kYiJy9sY0Z7fOjJz7PJ0RsraSvF2avRENxoJeUhTMRVukTvmV3jMR7dWjKoeabDJEwKl/hGCWba
tKFYOakMDGKVaxbvO+Z9edpOCiaMQlJeE9TkI1nRu8a2HityAedGvNE+HKEwZcaSQGk+ORCPuyVO
EDDkRzPZ2CITOluHyEHYM/XlDEAPSRUO3kHZ1uQTDktQoVgiC1NNatbVEmOIV4fftkBM35bzAwP2
o70EH4qECMRmCUNUmaBHOlGjWh/6zRKYSAaNtU7IUOSsuoBjOni1TrwicWZPOXmLfZIwJCsvxyWI
UcoDw89bkhwIo92JJa7Ricn+U1CneTLbbcIUiXVEEK6xzc9zlxRe5GfTVW4giQYlvoKV8z7lg72S
EePRlgUAOFmRa+H0AseL5biifHaqtFeGfie66ZAssZPBEkA5fEVRil4cyiWecqKOoZ3sDjPJlblU
iEfezwtUDnNuHnXCJMBvkHiY7MnfvhFLBCb28aT1EHHV0QHLT0/XF6dhuKqyrIwAF3epU59G9tu7
rLV1GqQh2sS2jaQPRJhzVEEL7a20BNNCq7DjdanktY7Rc4MnxrkJiDgjgmZSRjCZJdPzAbjDpmoM
PePiG8MNeTUEHllFox6sLOsf7NK0tyTay4//HYdfx+GiYfnr4xAsGiGx790f+4fl5347EbVfloXf
wq0zl/aBE+e3haD+C2ehQvaKrC0YOnaFv56ISLx1dnRg8DS0b7i5qOp/PREJk5ZlRUUB9Nsa8V/0
D0t38L1oR7dVvHQ0OFheVajJP60Du56gT6s0xLmX9yFQk+m6bDffvSh/ovz+v4T89wfhtwC+zKIC
8JGhLvEvPxm4FNiTSZK21VkTCK0phI0WaWWkqYV2juSm5vtPHZBezWVs2ifgGdYjJ4SKeEQ2JjeS
81Hdq2bltmO5q6PxwHYel3O8nmOF+fmsudOUnQND8rJS2k2tQ4JpedPJqEynSFnPtXU9xu2WJMIc
SNjoU8UpnqHXe6kiksROX7MpfZHIGO6rakfW6iP8XaZfcQTQp13baobtusXgNjafTW9tqiwWXsaJ
BW1PJxkNkeeiwNjWAyOZ3kruLHtba63Lr/cYmvJOdtC/akq1JwDmI2udCFirDrg3/wgqiOd2XpFu
Jo9IabAPwWQ7BJ0lPLtYgJ1C5XC25NexLfaaLuXsgorbQQmpDtW7ZuTbDZnkIUXogydOvLWmvp/0
pvDrpDoW0Sg8p7Y0z4gDww3K5qaJSRu29LJbh5N2zEOksF2rXWUCLt089I9SovmzsHBVqpidbLX7
TCyic+xYRRhTl+ei1C8s0ejriugBiD51sjVl4nQYtYeY/PtiHVcq6qqByCq9mh8UIDcab+eq7KVr
Q0ggcFXaq9yBIW+nT1A3AIOIaucoXXLKOqG4YIr3NKE4FpWaWDI7PITdm5aUvtMzSs2F6upjzUAz
Kx6CmfzuoLbZz4QQFey+8brB2syW8VbFwGnFBIPC0t/sNkeClMSfFLmMxHWYRnXnEINnfuqxcOU6
/ohrdmpKm2wjtYkYR9puGebnQW1flSSR3UZni4onYJfFKQu0ofNjewFYa0h99bYTax2ai2sU/Rnw
6t0QYkGSsm4XaVGzrHpvwrGrvRKOilsE4HV1MmkHbsB5OZ0dO7lRgdCBrGWC6AwPqcyAK57MzyRx
ng0lXZj4iJM1hCZEcEbpsQB15IZJXLmcK3f4gW4K3aj2xGVehplleVEZCT6s0I+AXkDkrgkzELwe
ljU/pWaAUJ37e0iKD10Rpj808l0aZoz1wOyP0pISGnase6TPTrKfyMqGuZpGrqUpLPHHrwrcgpSp
rjsNz1H1JXEWelMjgOPVcPBK1LdGKGa4KCmfcidL71J8gTtjHpOzqYnbula5g6qPHAB5nFYZSRXV
u9LVbHHZ6YCwZfmUCjiXTZw8IDgjqDiATWXeF8563EwRwKm8ZLwrSddNnzhLpZHVdJ7I5LyBiAzJ
gs7ROBXu48wwVmxA3FCrkI9rRx1GJ7UYcUPEUYP6kJdAhlNbWo+RbXzE8livONbQXCG+yrOKrPnp
gnL2RQK8IbqYtIv+Kex1/GOzdt0UypqMiOtS0XZCka6JjfZMKbxXU/OptQ2EEPKFI8IzmuPzlEfH
ue18tGNu4EzvzDYzRriJl7ZduiYN2U3JbrDapgP4aPhNNZyshedTMyIggcBDVMA4xmGqndgSq03p
cuqa+zx20nWgth9tF/lqPT5I7YfR80kcTMvXdGLY3QDKITzwQFDEJv3EHEYeJuveCodxU9eN6iYh
UR2GXXXVKdW0x7zUiYGY67U1FKEMGIRzC+KVXtE2GzO2wKlsXDujLrO1/D6tW7/pxKMQ2T1JuU+A
xrUruTfmMxde7TdZ/VKryi5qtPcxsC/reTo5jGyWIG4w9azIPGYctislWeznECFu9dyejmEe3cRh
+MpyXnIFDLeLhrkqxWaHsr1gLat30VOh8i6K6DaOy8RzNGnfD+0js5+ZrZyW+8HiVqh4fgR8c/e4
TsoZ0EuZ6bV9Bamjs6VbaC4sN/F7rsOmZOrc6O1D4LQ9nbGVb/k2216ddZ5uDsN2UDqxoSMHkZKX
EzMHOaLaA8Qadiy42VgZW5E5ypZa9kyWzHWr47MzlU0yLAWqFLzFGPggbCu3lNqPjTLehEZj7hy9
fywdgao1nIPT31+7fxR1M5jU7eXGxZhL9NGPnY6JSgyPVt2fS5vuX7lM7FuTZ23QLST/pHD/sYpY
Lng6PSgWysIaZCS1dF3fzSDbtiRWS7TibAf05/f15EfSP4jU/+khlj//7iHg7GaZ6DNxrvhiTuQi
RMOzXt38/Wv2pw/COFWG3UiNtVRd3z9IG6XpmBRCnLXmti4Po3SSht3fP8Qf35bFBfj7QyzGh+9+
j0XcGOL9FWfdvslrf8atSxVSWC/J9A+PxPT5u9Lu1zflu0dansl3j5Qx0czNjl+GSMiVUqDsUPd9
zp5hPeTM0X6NLPtL3sQfHRvL9FlF/c2sHHTz8nS+e7guTMa5AXNHB/SoIBO2EGJHF1P+X6/xf962
wmLhr3sN/MofTfyS/Umvwc996zUUGorFFsR64WvCwvfwW6+hmL8oOFAtDoOvjDN+6tv0hQZFg1ZK
8c8PYuHnpPg2fVF/MUlAsXGg0iUsme7/ZleBmPGHjyRoGMwBhko2JafS0nb8dE5YEZi1Uaqn46hV
xCspCLmtY2Xh1/yU57kwKLU60n6ZdCBemrelyUSTgNMx4QQz9fQ6UFkp2mD2t40yWMxSTfWN/NzW
LZ3gBXPoTRqk+XlKMQjWs6n62uIwp5Fqj4ATP6PK5sbN1ZxvQxv7KEWgJ7fkVXV4+/HDK8ZhZq0H
iwfjOhaBtJjc0WQ8miRhc0JKi7qLTTkyr/QCdH3hkW48+Y1BNdvVKXAAjJcuPk+Ea4gsEXVPewaR
B7vsgos8RlWcSg4LSIZLNrW1ido5Je5kdKzI0zqu4ZoaDwjaV1QkN2Jt9/gAdekp4/SuzLHYW1F/
q5iRTLHDOpm1dcXodZJOTWK+iYKLvi4tZUOo8uecJM/spolN0AcF0FQAzrqCEHaHJCNAQxUdQ+jV
uz5KPrpwVp8oe5GrMRb2BzOrPavNwHcxPUCo7BTOBfkRytoUsrTXq1E+GHHRbWI8oKuwQbHfWNaV
TXLWDZ3QTkTTrVQR0Vbqhb6R7fLKMtHW4FuFRy3rgLpKurg5RSagy4IZ1ZRKByXqiQeZmsh4Giqo
soGspRddMCndJsyliTJ5bhqzAQCCFEVFKnqcFGr2lRQqjJwBOMvCcW1HglVpOzXiSCYnxq7qJvVW
Uvss3sEcmPfNUDiXMTkT9aqcbfb3Di9CcOmwymeVnjqfg+KkBxVVoxLm840+cE97X1/a//xNy1jj
b06vYvoT2fTyM7+dXMYvJvnuGMRJe/5RNq3YxAjIsornXbOwK3FofDu5LI47xsyWabGeJTyeP/p2
ci1EZeYNgKNUIpz+9dz4z7as2vIcWMBicdJ+uky1KIPsNljdKU/NyC/LDAJjmdNLXk3qMKNUiZ0o
mM21Hg1yROzEkP6PvTNZrttIu+2r3BeAA0j0w3sOTs/DvhE1QZAUib5HAkg8/b9Al6oklcsOzz0p
R4WCPZD5NXuvPW5soxcGMRSEqLNpVImZnxovadQV8T+QdQDqjkA3VsbkNJLyOo/NHR51BNory8oT
EOFaCFs10EK/Kr/OODCsa1dKvy0DV68H6zTZ9tiRyq41affizqQLzsSLEEmIgmVqB7+jEY/bXdrV
/pk9DRTCqWUNM47WQ0MQdeax+2xktfgaspTRQjMOp0QhMUXrXF66eSZvobKPr3pp2zUpS3H0Oljt
tM3h6V0kTlbRylbhZaph5SBxJ0aTa2Bn9EZT3cD2DA+oqsZzVrKENNKhD1p0vdWIYhu9jmhfvISR
ad4j51nHiMIOsZ3292JskP/Epf3mzbm/G+J8ZAKAw59wlF2uWcDkZh0w4CJ8zqU+WcjymAbbfY+a
1tHVZau36TaDabC1agMVSteRwsT4hWSHeej3TagDgzdqLP2+H4uv5rJNi+c5JShRSPGa0SNCroTF
qxjdfjEh7BMGJxDn1TQus1fIK8k2kF9peWh8x7gzukTPodjh/2WZ7LNsrOJLtWwpI2Unl/ayvfR9
4MTp7HuXc0OnUDQlHYkitSFmCP2G6ie/IJWle5Ss8bedn4J71BJxBhq3wFBiQtqJqWWssqxtGQho
rIbt7tpMPlkxenVCyzecOrbESOJmLN4aLiNbTR+jFed7ry6i41QlFt9b6mrnBCcczIUOdEGlEAb3
PUd4o/DP1RFiYYu4q9Vkt1Rws/DDI/gW55GxxhNxX+JCaF59xbcfbrUMYz7IETSDbatfqTnGpg7t
/xAlyMAqQqRot2t1Gy+Kg6Ebm41K5LSJhjncdk3XRf+crP+qCynH/vfJujhH/2Alt8xxvx+tQvxG
V7bsvX63h/JP34tCyCSfZxqOkAVGtvSI349WbCw4gjmJwYIwvF1kL9+PVtJyGRcDJTHZ9FmLIuZv
DKBhnfxSFC5KGPQzlrCW74JP+HPjQManjXSVnEyziB8bM+9ZaaiFKNk0gTEXW69xdgZ6TVsBOJ/8
RxpwNBiSKU/hO/epZ53Nqj8UabphmBB2getiQ9gk8Vg/5JXPASz0m0gr20M/JhG66TzVXkVeFcgT
EUdiMwvBhDO9g2Ps5G6673psFwVpJzd6CRujks7dmAFV9nACEMtHyVKaQR3P2ACn6l4p7ZHpwYNZ
2XKli5mU0HY8OJoiwcs7GkxfkZa/taza7awcV1Gq39apuPY97VEMXQm3lKSJsM/OQw3VQ4blh2o5
oWIi/ULLjQJ22Cbj2Omqx0zY5CmJbIOJKbuKvzVjMQe9HjIOBfsZ6T3S1Co2tqS9uhwXmqUO41Rp
63iMToZERgPCFq/7aZbuWjeIRR0KtBuGGE7tUD/Fuv+sWS4D6dy8yQj/6m0mPAmnQZvODz2O1UEa
NUTqcVPU1YfQjWBok1tfIt0g/fKijoqDUajHrMNCWA0femuTo64pFw6GKVdzMgzkyME5NfNs33Qa
48vYWWsKXWIodIlKO/Yw59ZqPasmWw892Xkx0aL9sqWswIQiS1HaxsuymcRh8rUc3X2LVXQsTUPt
+oVri9eHaBFxgFK2l7K9CnOKThONMNdf2wDydBxZ7HqbMe4KOfDB7Nt119nnfqJ6Nyvsd3E5bC09
fM2Y1sCIxU8ipyAtpxe4pVhREJ6CBWHgvIyXY2yNsam96C2Lk3bA+2FkqBo6/50GxDuz1Bk2no6r
RMjYIRXRZEJatndxF1qXooccb4gIJaBLyuEMfzweANd2Tm5t8sHF4FkYu3Kh4ec8/5cy8XauZh20
pnvUbXuvS/E4Dr2xjuJOD/pOGJf4dtKLuqR5iriXNrFNhx8OWGIgsVprlgfhTkFWvKwnU9ww0Hf3
STbsfKveE+RwLDIygaZGvNA9gsctVXLlwhknh9LaKq9A3dNB0FdJvrbH8lV1UFyH5EsFGSbxGWFG
hBeuU2yaV5a1sGmL3Q+H2h/skH5uHJllwHQz4QIZJjgktlW/TE1qc2L1rPnGVV48ZNY36CZjcfjb
X4KobofAjMW7jtfu52NI1dHUpYlDGlT3KrNrVd+X/yKN/lP9G5TD//uOuqi6//f/y+g9f+/+YHzB
h36/qQyXJgCEAUjhX72TNAFABQAFuyxS2VPy1/l+U1m/scNkysn0iRbh01b5/aYiZWx5WHgj8MzR
BvwtwsHPzyDDiyXAdbkKF/IWxqtf7qnUcztvLP30UuKet13SMndW8/TDL+YPnnMmsL/chstXYTzC
rWpbjGpsfj0/jtEaiOW5PdvpZV+lSR5Ung5Q1UecsQ5NkW1Ss+MMUsIA0+WVmALidJ3PYLMRkd/q
dXyTc1IIO04ukFORg2xoNuouyZbFSPS1HsWHURQHOcTnZPD3tTQu9Hm86ZQ4N3N1Akh8lbTRUU8z
Bv4DSoVUb/ytu1D4IL8okqz8byCMRnZCBf/YQ8VCWPCBNrLF2eggJYEQQ6RtyMdPLvGH8MdD5zhq
c7ELx8kNeq1DduODDCfhs0Kk3pcMfYT1GJK1s0PPZ34VBe5PjSnjLtGz2NnEsqnzTcWl8FTBpcLD
gE1xH/m4jQ6GiYSc68e7dFSnpp2LYQqJhofWtDdr03ucRUMcSSPyXavNjr0zqpH1xhrPtO42a2kX
SBxxBtraFWQw7cznr4MuIQtx2flUWrnzKisJHIkriHYBd53rJXszt7KjpBr3rvl6nfnVVpHbnYQC
4kDZb95WbmtP17GBZgc5rH/yW8c9sheMnhnRWU+DG5MMmitmDH0prYNHDwaUSCBp3HuAK521Pnb+
Q1V52FpLq97gtrQCUcNvyCU2zCaK1GEQ9nDpS0keG7/zC8xD3UsXR6dJcamoifwRv0kOGgu6DV01
ZkhSaW9Z8h5THYiqXxn+LR0KZKMUD6OnfLrauqBzzCzY9kbgNskT9IPhgj/dEDhNQtRFj7+3E6zN
pnxKjg5htRu3VyQq9DkXr8+91sWDgGPVdDso5PvRKllHTqK7ierU2HhacQYsT753V26LNrmxKvvg
ITcOQiffVwkpr5GpX3f+eNcb7vDAksr7YDO+6qBJOePkfFSJDOyCbLywMe51TW4jpycmtso2vgaE
3UOhOMFn75z6W9f172XSvqtUPTapBv9rOPpTseUAYSI476xJPytvCEwfq74tQLDHiK2GV92W56bQ
tvlogGnE9ifVG8IdXPxvSEQNZLu5uZtcwiwze3i2neQ1n8m5cLqsO/YDLk9tnC9EAXUrEmenlsEo
s+eaP1/Xm0ArPHcTDs6WkNK91OfnKewQfIZihYibnKSIcqwr9QO6tJTbNg5s173mZ7xFcYvUM5mj
IGmp96wBqWQMuZrOWdz0edmdx6Y/RWLiYcbdmDcTlIwQg55XqJPPS6RXhJ35LYJM78KrzQtrqp5I
rltn+JFgnNyUTX3BCGE9CP+C3IWb2E+Ouag3IqQYjiJwGiozVilFNRLh6jOs/TLTsq9VZnyts+KY
dNkJDv8xlcbNPBpBjnusyvOzbaXorxt1IpQFZCnUOw8vZJO5e+nbgd/WySpGQqvm8ehVszo0c1ke
cfN+K1TokrFWImCPSPWzJzPbNX6NEphd66y0ZvvnJ+8fDKcN8t/Ep+iGUS7//fnkjZUBmcHJsYY0
mdgMuQ9keFBZADEvv+gLcwzcAWtjFRcM6+d3o266m6bJ9HsPMsyqmqZbxNMX+hQGme8+6VO/a2Ln
g3iXKKhrVv4EKJN3rciPmnmmcxT5VQiVe4TburIaBj2u1+/xH73iyZZrcBGPgoH5htUjVaWODiAv
12ODCOZg1Jm76sNyZ6QgkK0BkBrBiQXImby4Q4FylHjz5i4/NhLlV11deJ3wd/2osJuoZC+m2F4D
cVs7Ib6V2Ep38K5dAp+6W0tJY13HzlGPfd5rM9JRoxhspdvpIU0Gi0BKiQBckfiTAMFrHIcRebI0
L/Nl3KWHbLR3NqvyIMmbQ1iSsiw9ZMyFF22ZCGzsqL7II2yQbimuEoKHclnsudcQpdTYiivVbau0
vcrS/JY9I0ELJQYGhzJ4bdYwUdv2OjG7IShmsvDaNn2wlMWEekpeyIU/JQSREA1TkyA4b7OsWWyg
O6MuFmzHc1qQ1mESFwwVZOQcMrvqW+W7F3qjw0XxtW+h4cyrWjQrRzJPyvIC/l29nGX9ReI6X4Se
b4kgwSmsZc+qEAbJjSpj3BddmbNtQD1nYG7VqbfHSSofK9CFpyRp2nMO6+AvKlWmmj8s9j4LEWal
HiSJhYJuLbKxH0uEFCUn470CRyaKezM9tkKu/vxloO//4SvwKQmnI5MAYws7H5JYfxFsmQ67GM+P
osvcSVeac5XIZJ/Ut+2Y8iQQjuk0Wz/d/PnXBOz2F191+bl/2CDKOutry9S0s67KO9ZIJpE55R23
4hcgyAqgC2Oz3rOfnNA8kONCjzgh0szLcbGzQgUv2/lLpbkXSW/pa0Q/29wfjVcvJpqs0NMHxyvG
IMrUyc2tZyfMpqORm47kaSqrjZzdcuPVGiOHGkmCWyp1kJNrvlYlKEALJDKS8+Qt51ndNLoTB5zA
Kuhh/a8H6d9Ji2AhzsMHGQ3iUETo2lT/Dev5nkvpvmvbrdONIBztdG/qsbZJdSoUgmPKnZqlvm6w
BQftaOOxh1cFuoXlTgKByoyADvmIULrho+lGAjHq5NBawA5H636a0cfo2dHuMSO0i6w0CU1GkT2s
U0fah2xOT4xTg1KFIjBzHbVLmHHK6k+DzgQlSYuzF0+7sh03QzjzBOubrI8KhpI1/Xbhreo59YI2
D881bn1EqnujWsYg0XQHMosCrtbuZQ+UwjR7fT27PWFsCbs1Wb04EUl3enHT1Cii+6nHuXccbAx9
g23u3ZJ4k9owHkoV76cQP/nQysua1ASs7uiViTnzGgYCYYIkzrZ2UW1duAR9/cXj9lfP+C/93ogg
cxAonM/pRXkdXWrb5tQ8whs9AHO6IKMrXr8Jwn+Oxrn8Op7+/IvDNv+jF4ytheGwizL85Zv74VE3
mHWQLGpp5zqwV+WFWNdbQmaMk/bkbsHvPVxp64unYYMXZ3jhf/JLdaGvjsk2pM1fFX/x3fzc2Pz+
tptwJcnWcGijfmU6Kn0k08lI40swiKjYAUc8tcP+z3/in8+s//4ajBN//IHntpBaHOcxl+t7BPtN
3fz55//Dn8HVfZdUApMxwS9/TfwwMxClhstbu24gRrU2NefvJ9Q/7ftyvv/v9v303v7RhJmP+bFv
NxzMkY6LvftzQ/fvCbP+G2xpAr0prRyGN/xdvvftbOg+dccw9hEP8RL8Z8JssbwDlaQTL+FQfGMV
+RsTZne5rf4jP8bzAZUP9jQWEkaCGC+Xe+eHl8016ohx59xfup3brbKBDpcqlGbObSx/5w7eC/Cs
cdvUNnxe4pst7Vh0noSx4SYifYa5L8OrOKxkc0Dlz5FGfOSob2rNlu51jZpzvC7H+rI2s+Qe8zzB
93iR3G3azR178Tj9atLR36iSFGSiWFkJRki+cLCVyxZRWHO87T8XIg1dtDxYoVak5sb4tDYVnLSo
/qZ8Jr8wMKXTJd1WlFNiHIuCJJm7aGZ/jhA5TFFkYmjb+dRspJVh+J+G3gnaakxJIFPNZoTUtxsy
RoPj1Mw7PXPax3mIpbHPSPCZN2YnVRQo4c/TJpeQABBmLLkF9J8a4JJ6ds5SdTHUMlE5d4njtCmw
phoyAKYa6qw46+8yM2/9jWPV+dUknFjsGpf/r6Ku+jKPlp+u6ibKoC1OceUeoBSZ+j+v6O9bIOtP
X9G7+KXrX/57uLZ81PeXFGcWcFfkPBz0nJPQPn9aAzmEd1j8y+9JHN9fUnwI5HdAhPUcz9Lpj/iE
/xqu4UNgs46W6HNfz4f/rcxi+zNX56e3FL80nwV4oG0KXv9fTnAmZTrovSa/1lnCgFKUrK+t8XFw
nWjXN9pVjVNg1c3JOcsFbEuFyF5xxGM26gIGBe+VTM6YpO+trCSzzWi8QJkoczoybZmj7L1cbp0+
3BSgvceR/xLZt6ITCLijnzsbLlmCaxpEJsSw5gVt7plgtnc3jTejb256LSKpzajPzWS9wSveMdWB
btbBgtKSQu7Tut23vn/qUhKWhb2dIWZoZhsDbBwIsKse3BEOvIglsbNWsotn8ZK3+lbo+pdYH+yt
G0I9q5tC7Vojx68LKH9lweWxp37YemF9wqC09810k8XpXTj09Xqiw9gM9XRTGhYTD6/eAjfUiVG1
9JPpssqYvXEOtNIosVC5V76ZfyPJot4pYZMQH2Fy1VR4D9j7I6/Zcegl3CXgD+eMyUCQRIwayW/O
13Ht2msU1Qp5jrfBpnyM7b4MojF/6O2WgxJWuUTkE7dohUrPx0WlsdOw+7NfivsmljvRTzfJlGiU
2NAKVTHu9Nn7MDRWKFiibqa4RKTk+c9patwq8CsQRSsXYpdZrJVj3s9F8pwRxYmOGRaHR+NrJjBA
DP+UNvrHEp+8T2dkACKRahN3DokioUmcdfwUp3z/kWImOUc0lw4UdOmwHqlL09oUnXyv0uygwQUd
galysCN46g1Gb9jVkIKDDw/pMqsy/sJW/XZqrWldEUKymk3S8iLiTJoSn1yvGGOMKR+Xmz3CoSKz
dmzxr5jdPeG65+/eyVXG5p6UlfrZkMkF28WLNiHyEPGSt7YdmmVLlMRBMoQlR9Kk2e4Zc5jVZUn2
I3oBzGFgLCA8Jpd6Wj03aYM2LGdjRV5xMFmg6Ee+0XFgIWnkw74x9Gsh0LfbYDcyIzy1kTx0Zf0g
tWFXdeU5rirSoicCnVEBYEccfMJGx0W0hrLM04cviBTeu0Ggy552Y1IrFmBYHUunIqiOnwruXtWM
jI784c7L8m1PbOx82Q/nUEu2SveRmZRXhl1eiyHcc/NdadLxobfhYlsyS5clmqziORBzS9AxOX88
oEm4drQ4hEYPPLDkk5aFTSPviGJNOoJD/zZ8kGeTBVNhuhtRL68qe5opdYKx8j7cdJKHCh3Mepk+
74zSPsQGMY8zsbst4wpiC7zSn3aaNkUbRknQi9x43PqaB/W9JndlivsjQKN0WwzWN2n31hbi7rfK
HL40s3yb3THdVB0Cu8gcr5VM2XUlzrBWvUMoRS4Gc23LkvRHAhn7E2dPEywQMfZgmB1WZdEf7JKs
1a0pa8d+GD6TfWKrJeTHYtwcwftnqexOpAB5n4lAXqlBYGIkZMJV8RhJr4AdzMklScRK3v2eNjT6
rWae5CSr02iXefylnS0xXNFC7yHaMcRJmfJWVmZtyTqImC/OL9gub7sQrwlj+6NllXLbau208zTn
ZLtTEiCmslYyd96aqqJO6h1ogqn1JdMcj1j3YWG3zs7RrHiYAcEg9CFNBBxq9bUOrZc4bQX9cMoi
dW4+ej8e2O9WOrw42lYdgsSq7VuoV9l0VnXHLNNHplNrZ6tsb7RQnjBxfh2S8WPWzPU4qZSWkRlm
VNt4P8zpGKuDTZ9CPHn9kpDY6pAWtOpZdGzoBhiG9eOdLtLLsPMvtFQ957H4mA18Ll1kf2RD8Vjq
SaDNR6EmQhrsdhNG7W02cfToMePsiTjdUx67Zz3L9cCfqoUfjX/HbAndnZw10296alFcOm42B6gp
oo0OrkpwY4Ies+cgmeR51hm12kB4+S3UdLmkYnYVvFcTNM66turA9RNMP63iXQq1eyBEsx09ibbT
+E2mGNg1YG9e5o98cWDCfubvISdiRJtyLzDRLqxHb6quiqkeN4QtXdReL1aex7Q/MtyrZCzPYA6L
9VQjaSTphNSffST7F8cf1Qb9453KtWYzF2QLY24FopvKh1DKLpBj+VTl1THVMr5HOX+RDcsA3jqL
Z2CuVqj/tXVL+kLn+w8c0Fu9zi/wUwBijMw93qyHZkh2WuJO6yHSFwTf9eDVt75dvSZcdOSu6JeW
3p9QkoTrobTCXTgbLUaElrj3gSuhZ2oubKpD5PcH31beaoiwq2Be2HU2Dq3E6q6yRKKZcLel6B9R
6u7xdgD+lIIHUFoT4MpiILLZawKfsfdOi/hXF7JO4LDjJgfX2DkCEHnPL3TdxfmVDnhhBfPuKEsc
cY3jH91uesiJpt6oikuQI2sL9C3CY2IQ2Os7a7UEMrW8aafIENeOAadS61CSsr8qDrMgT2oIQ+jA
ZhMSDW8eLCu5ZrXxqIH22mqlh/UtCTngMArOheCVsL1r0Q4z+jWzCJxqeiur6ImcyysIoW+zZb5N
jr6tO+dLlUUs2msn6M3kEBb1F72CZWW1d6MnTmaqYTQEcqLn8Um040tU5CAYxbuP4DWSyc1suGCS
eh2T2HKIa/aWsz5efzaE/3TGgjnG/+6Mz9Uf0YCXj/ledLPRJqbSFSyg0Ustjey/i27gQQ7CVN1i
LY3ZZMmz+94ZI3hlgqFDCv63GPb7RntRvDKoAeILLJgP+1sbbYKXfm2NEfeT/LTYiR0wAp+t8w+t
cTczxZS2dC4jk5B1bl9eDMrluLECrsoB8c8cSqbgGt1cDtUydKuz0imeNhIGwSrubT0/ezLRCZQX
EV8DFB4qHWsTavjkfGg7C4vPnEc7h5PSpzKC+VtohETqEXbWVcaOuD503IU4QgeycG5k6uKEI5A1
2roUmGsJC0jokg0ADMt+oe533QD2dEkCapOWKijSum0o9fu0FOe2dLj1CjaKSr9FxLKwHDHbVlTQ
dVWcyia8MMbpkTqTVYELN6iuYdzVByjtMIQiSoHESROYakhO8wn0SQL+ZgWvlV3EBN3A9a8BIMpV
HlE/yw575bSka3IrIUjxjm2pvompn4JEDl960CwrI8rR/ut2gGrtGj6QokwnQNmRPgPOoemJoZqn
gLs2D5h6I95cFMGeLja6LSm8pNFw6g/fqAdIyuEKkG3YgjQ0vk0TDkdpd1s29PvExuWI+v6CQ7Ne
J237yLKeOUUzXnQyk+shGQR2U/NOg1DfuFLAsQwpNkEkhqhyD1acwfK0qstUVLdNM65DF94Ow94Y
O9Rq8HBDuAg4Zf5KwQIxIR44jMCN51lAdA+yvDo6WmGxaWvP4XJD7EbVnxI7UGWETLmA8Mz+XGjY
KrN82ZGxMzai6InDF7hL5Sc7kxIt0JzoenJZF1l+vzaa/jhIio5Gb5+iCgvTnNknpYy7Ppo2SGbB
1dLKZWV6G5XDBXSbIHMTyI7OnGxCm0u2RvK0b7MwXuuTf63blbvxGvO9yo1ub5DGgeSvurQNrAwx
jsHSzB5c23kEzbOq6uZKi4kTI8BArKyc7CIvT7dpXjwCGg0WNYTUzWe9llUAKXE3jPndlNmHMmrU
ygljbOYeKzbVpQMPuohP7P8MNs0zoYzj+FS6gvQA0T9NIWROq7u3Oqp5QiB3VPxXaWdTeXsry+5f
J2iO6CrGEV85l3OTGQhCwDiavbyDtZqtqtQg/1xFh6izIhAdza10cPl60VcUwgmrOQopP02aDUZE
Y23p8mFIdMATGaKGyomPmlYdddd/KQmqgGvViLWojDsGfdukte4BRO40s7oGcDRCFjPvLFxEgYch
n0ZZg9VrnRO35gLKku2U5E+J5ZLlbagX4FPTPlMRED8c3lrs+etSA1ZkFnm17fvymY6C8nkRWuQT
EWw+jUWAZ44Y8rldpOXbYoT8GArUcMh+oOiCUMw7dWUY1nuLs21Vtc0lsRSQksL4iEQSIIAxvWeJ
f5tCTlw5WIrohqA9dbP6GAccKMPAGjmMhAXK2iU4o1v25C67ozCXd6yDeHSQ/tCraRUPQKLIba/s
NWSXfRZNL07cl/iEynIzOT7RAM3Z0Kz3rJ8QiE5EYrYZFny7d7eMoT/a0TrBn96ruXou3UiQXNLA
wUS5UU/GSQd4sPUmjRQ4SWTIJKxDRKLmCg36osZMzwb7dPTUO0UoOlKkm5QEuCJPD3Hf3IUxxfVE
nnM5theAz64crb6vvRjCgMK5rMeRg9qEc69NKt7cHIdTJcddmlVPJTC0tTuC3YQZu7LJzNuMaAvW
yTA++l0vCZnUeKdLqnMoJYDee5PXcUJML/UlorJCZipQWSjY5eP72CosOzbqgBKMcgxOeaJ93hkA
lvOFtAzn8rFlAbY2gTALy36PI/BfKnNBXANq1rvqzQfcPANwHhaSM0kR9/XCdmYxA7Fg4T0bC/m5
gUw1wJONTKorLWJKkYOJtsFF86MiroivSIiztvZClI4WtvScuxcudI8g9vQD7oYEUa03HazRvhN1
+AVq1bxrgVUX+FVXoQXMylhI1jh3H8yFbe0slOtlwYp/4p8q6XdMyp9WSaekjLr/nk0aP5ZJ/m+L
Qp1FAfuw/1ogIIXT0WUyGKT0+U+V5Py27KY9Nj6O53wuCb6PJs3F/MNKwRX4IF36v78FjXJ/3hQu
+wPskQQ6+NjTHBTxSxH1Q5HEPAmKIHOwy5jmtH0AtZYXQEpVYQRxrIEr82AdJefOy8wvJBAvQDPQ
ZjqNLIpFYGftJ/is/4SgqU8gWlG1QP5+x6TZHdP+rguPo5kz1qATm7ObinCEmpAEx4i/TqPo4S+Y
l8phDmYtiQoz7TphsfErYwxnJZbcBdyd8UoBY5uIZGBTnq0LkalgJK4hNsIv+FUIcKj0FDZ1/hns
kOVcgcWS9kD0L6z3IOazOutKqr48W5py9ipO94mVhFsR5uNG72kqQ4aCryKdv0ZDSvSLU4Rroy63
3USbRtm1R2m1R/bQr6aW0F+zTfHshGYASfghibQ3cSY1/MxUIpgQgELxgLMY5uE909qbgt7LZ0iU
zjdG7zyMQ/fkeNGG+QAkpH9exN9fRPbMf9KuvHx7b/9gS2DwUf9uWHwcIQKbLsghlgRLV/LDKg/3
Li0J0kscT8sC4XvD4v7mIoqFqIZmhFdlSYP/3rAAQuWd8dg6OCZxY4Se/I1VnuXwmX7e5Xm0RGCE
gLFi0veWb+LHd1HTDdWJ3oiuQlKS3IXx3XeYTXOw32afP9WZRknOIHYGDO4uhPCyiNDgyL0OOtxa
GOKjbyNxgIBKuvJpwji8mv0UWM5AGjgznUV4seoXKrkHnlxfOOVh4jMiTeo3Q9YA0zx52ctoPRjD
swPk3OByshfqeRLFXx0/DzRUgI9ocvR9iQwrKsZw7YaklfJtV1sJSL1K6HyYIjwzryEDdaGtdwt3
fdQca0s2yweRle/sDOEcL5R2r2LeiFzyrsriGyj2LzNAd22hz/kL472ykWZmYN/thf8u4SxDXYkp
fNzq1QMSHwOLLzhgV+3IjygXknxXG9caaPk0J+4V1Hy6MOfTlsBWQqmu7TS91ktzWiUJXpxxYdXn
DtR61no4PbrxDWg6xj1m2ass9oicjjF65Hp6PwDA5zxhNKvjn+5MLmJQP3cduHzcDDfUsS01NBEU
Gkj9GLR+3E+0ZbFOVRJDhQK/HxlgQaPKBSm6sPkradM7JB3FYazPD+S1lHsfow2UGDddRwvhn6Vv
uvWz6RujJHWMhpiQ1FKPgm7JBjBHT9vUxAU4DbEBFksSJcPwRi2ZAjEQoK2KkMX4eQHIY8keKJcU
gsrRdtUCiUlc1GjNV8Xuc9dFJgbvOqb+iVyo2MQawFVjIUzoAEkHIXkJzbxxXVIQELi9Mf8kdmFJ
SMCzWGzyJTVhIj6BghPUZ1ufId8A2Y4gkGC23KYJqQs68QtJaPSbYUlkEKK5ZZQVB64YsKAsuQ2e
5A7SlyyHVtDdRXJ+k61urmrgoCu5ZD+kSwqEXPIgkpRkiFl5Z1KO/cCbnPeWrDRQo8ZlOfa4Ynoe
ZcSZUxANCUkFEQJzQ3PuSoIohiWRIkEMyVrJzfd9NzGDjcY7FkbdIUS+CdeYhUMB0zOLSi/Ql8SL
BiRvqJOB0Vi5tQfO9+yn4hXZIr4V8jLE1J01Gn9+z3STFqEac9y8Kt9aSlK3cYOy850bGsPeOhoz
FQFKu6W4nJYy0xyJFomfpoh3XmRehQqaklRRm6qlSHXH4nlcytbQS/BSLaUs9sfHaSlunaXMZfuE
K5XCt1pK4Ixa2FuK4pHqmBYEwMBSMBtL6Uxp3qyapZyGQ34/U1+3Tn0hl4JbVuVHQgUuzPhQCu80
eDjmqdBnKnVBxR5r8VlfSvhKEeJuETd2KFrrVq+cgdAXSv6G2t9bmgBUnQdoULQFGd+4H+07+gWd
vsGhf+iWRqIiI6gKC3WsNPUiFrXWJzy3mXomEmpwjsnc00JEE1vD1O37JzrPodpOcW3Rs2ttdWeO
sntEkzoiMRaQ0R29G9q9mXj21yir7GPf1Xl0nUd5xFS00ayvYeSI8JyS8LsriJwLpB8+GUiMWZcI
Ho1wGRvzvOytCm77mOJzG3nuNnaNepen8Flacj8DV2D95uxjZw5ZGDb6nrE18SdVeOPN89VUyn4N
eWRea+C1cidCL2dwwhV1wvHEImUjo/Qjat2b1tGrPXmRW4XgYg+fLV+7tXuLWBth8PDY2IDkeYt3
XoiIwZfgHvT52reSk8yUva5r/cWYOMerklglyihjNPJ134fdvmGKwrMWXqlMFyxw4NCx2iV2iuDk
7FAuYQKdWb641cBmQbCqckkcSLL0VZBAUKUTLbnYlg0rmZmMgtAirABhfbZyyS/Qp4sSA0CR7T0b
qfe8Qza50wbvKlqiDwYyEByyECC+oIw1GXKRkmCgvFoZS3BCvkQouMV4VyyhCvESr9AuQQvlErlA
ZA1pyCJB4oEMBDr0zvw/9s5kuXFj26K/8uLN4UDfDN4EINiIoki1JWmCUIu+T7Rf/xbK17Yk1y1H
zT2xHVaxIJJAZp5z9l67lxUvH8rBVc36Kk7IRM8a6zyo6lO5xDrUS8ADJkNGsOqFHtEzMEICT5oG
syCpEKlZnkpSIiT4/F4pm98Su39JBoIkBiYhwxItgbhyH8BwM2rbhV9/ZNCTeyppFNUSS8EMbB07
MrkYNuE7BFeQbhEywysVtyPVosCc7BnIZYspWyHJuaaTQjOMFAyzd5r1sARjaLbYJ0tURr6EZhTT
uAbxcKYvcRpdHDGkJmEDpCDrMw7JtCeQSIqvwak+1Z21U2v+H7DOnqiOVOOrlqGQNkuKh0WcR66E
bwlwbAPbaCnx04DgD9ETAUAQSK5Gm3/Pk9/PkyrHr5+cJ9+K1/Il/mEPnBf+caTEf4z8imwn2tkm
kmV+9OeRUl9Om5QmwGqx3X0EYC6US5XSy8FvSN98Yev/caSkPY5UUf4PF/MXjpOGyd/y4Ti5+AoX
sQlHSipIB3LVl9LOykRo52ooHRUp8zpBiKisz2/BgD8nNQiy6zR5jRdj3UzLXAXyanPlNDmTP6uX
NHQOZWFdhWxLNkkUEwDaVmm+sQtZ04shESNqRkHuqipU1gR8rtuq9rwJ24H/wl+9AVSMFKoZCAQS
8YiYQ3LWjaLeF1Uqv4R1lnu1OlbrMrLQKHRCMBbDcgoEf/Q1pGtul6rNY4WzhtY7I8IZ4NPZUFhn
SQI6ctCaHTBjJMOdtOlUcutGhmU96BcXB6vqMrXGkDMdprB0eAINH2R/f2EXpMfnDSoWBzTpppkm
ikpc0KzOqHhBV9FmAjpnk1vrqkFT+TO2CHq97Skh0IaHWGQPZMFO14pCNxBJRSulF3EdRiss4JfJ
LBgGqAojBJJ8Sbc/Ii94aWOyXWz2OF2QZ2b3BuNNe8R9AMDmrADkQu5qPO7YF2W/NWpt8ZgByrdH
ueQzw+fE1yIdAVLChA8d1BOl5gkySmpQDqwb5Xg524m1KVo9vRx7+VhWUbR1UvJ+od7zonSe4zWJ
qEUA3a0AmZgkQ7ltgoU6o1oLdXDU7RVHIXILkogq2aWWDq6JN6w2/XckLzd2sSuavifbs4zPAlOy
D7EOm8MVTnBIgc7ZxUGpu+BS6SJm02AJo8J8Chu8CQOoHSCRzkOqiNAPRPUuO1CMERydZ0sn2U6m
Y8YxCr5n/h7NxgpRuDhOOQennDxzT2/slHwf+vdSb+6avrbOVAN3dJ9M11FC21zN840e8Q+nYR8f
jY7W8rSIFOG7D/wCQu2C2G36QdUPvVFJZ5NmeUqpZdrJMBZOa8P5Q25hQmie2sK1qJJMnFOUU0xw
ox37EopkUxv13tTJNJXKktMzM39sLd0GbsrjYmcWMtbsSSJyckDB4WZ9qNCyC2wCHvO1lDuvqtRC
2M4vy46ptKQd2srC1aBK1QWJiNNONVEbouLZSga28BwL942cBIFv229CGvdxhv1Dt86nqHR8NFub
epx8kzMC7/loT8W5keePcy/tCZU/zyN2mLgzgkNhc2jMzUpD7QHKfhpD8LLZrkn6bVrzJdkR0bhD
jAUisQKXk+dT2A08gWZ8HHvo/WPhNK4k+hz2EOFUZrZzhOHbTfOUNzYpUqmCZOjdtGhBinxNyPWa
sbUn97inQxUOAJbqqEp2FiwXoi9JCkRQxEgtov2Y3dqZfFT17hZcp81N6pQmNa9jngX2/F7VypUx
dzsLRqGW575JHxpqykicXeolff8UmdrGbHq/DUOYkYya27S4skv11WE2QEak9iac6UpH27DK6+ow
1TNADx3NEKmCCcM2Hc8PPh2vJ5ELq1L+Mk/TzbDcj0qa7JouOs3leMwRgVhJuAvGcmvlpcdCSs6u
IV+SEkc4zuSpOLqKoFtJTBdonm3gX24tLBN5BTi2HdeSsTih1PjFtJfQz2orAbROI8ufqvJYVLLt
F4QogNHBd9KFJ1UQMtaH25EpRF5K5xSca4I/OBCodJZHOvb5u6qrXsC0hXGsF4iMacFbGXRXBB1x
R8pE7mFPHwiSpORoZ9guOtcAA6AHZACB5GuFudaJAjHCkda8c5Mls7oi+oip6CBvcp1EjsDhDgyW
WAl5bTv5+4TqnBVuTUWOtsBemTbaqrCNdnAJtuPc3MuKIMLLvjbN6t6O2quwny67/LWYqrdaBsmY
kVZhafEante6DciOC3U/gnMZatElGsJD2WtXZC+jmWPI2siuDK2skuWt5PRbu0WPEWXXCdlAwlBu
iXNwLSiWrmlUDGHBwsjdmkfxonXstaK1Z1owccHaJz509MaiXTFBKQAOqS+Esd7zV9GCoGM3tTrj
rySCBRYNHgCjp7ZogStIeyBhu1mymDpZkds3KahHNomoCmqinyaGpaaF5o+Yo654FDVT1cra0T3y
K0IkvFI028Km/T/mJJUbSLWS/n5o5G9lk1yVyDQCfSRbrOOzY3hciK0lDO5Oix5lf4leel/hOusl
ZgyxtbXH4EjUya7Q87M+UBC24RgpOlii2XSCIcbhlDyVwWaA4pxryvhQMWWdGqwlqmPfBo152Tbt
sWiNK2DpsgtI6LqDLNBXlITNTIy5kZ1nRgjWppbdgV5JsyxUc3k/pQKthUFMHxBgqBsJSTLtsBx6
Co7MxW1TTWeKWu4llVwqksqC5xBywnXboiGcVXHW0HSYGeoRRMbGk7xSed4mIudUi3UOiZN4QDTg
qrRJkzIkklF5NQmyKER9nzbRDhjnkfU29uUmBYzS7pGG8VwSPefNsvIQGW21drT0Jm8EfKcx3aSa
ckpSG/EoetiiHDQAT9Y2SE1vUKXcj+fS63GVkxICmn9SlxQAchCKEwX0JgnGs5GpdiXhQiYbTDCe
XnrJPAEt/Ybe8rsu9JtIKjzKfI7knZdnbBKjU2x7cnV6xK0QkjZhb61RVfrwKVh/WiqucJzXY17s
JxHuG2Hc0MdaNGJw/ltUNTHC2miQzgoViLBMDUEma6OUSCHFYZaGh7apXjp7MVW2Di3k8dDrFGu5
zPb34Uh7+l2A/D9Fl5/wF4v2//73i7Hk+wlRU9Qlq8nCQ/DVHCOGpmm6uJCOck5ThYlreiVRnPz8
Iotj7y/t8+/HUKxA4Dc0naOt+qWrST9QNmnJSsfRfm5oTHQPY/keaqu8j/7hSj868H680hfvYBmU
kzIHXEkFtK6THm4BSJ93pXmXdI9xaXo/f2M//PR4mmAZMNuhF/e5XavSZ7GDrAxPvfQoun0dvhTZ
y88v8aN3xGmZwzKX0ZjQfL5EwLxOdqYqOkEDT4ZNN01+Rj5aHm5iODqq+Aes7g/eEeJiihbMLIBC
zC8Vw9KbUydZxCemXm6s1ehPNlX6D++JUdjX++HTRZaff5g4tYEkDDPgIknTuKI5T5xo9fNP7Z/e
xvLzD1foxSz6puAK9CJNPLNpeRPQ1/z5RT4Pzr7f1p/expevpkoZm/V5G59GiQgQw3PiEzprFrgH
A/Nxe1RRH/78ij96W/TEUTIZhC1ACvn8ttIYTXORKPHJqi9rOfSqbGcF779+Dc2UTR0JlqqCR/18
jYBEU9Pum+RUtJGfE/FXlB5y+J9f5EcfHUxW8Dqg6SzV+XKRcogsK45BpjfVQ2GeR1SKCYuBE1wn
3V6nSTkElz+/4nJPfVmDWOL+uuKXLwt3LW58ZaL3D/aI4ZvGAernV1A+fzuLt8RQLB1DFygXsr2+
GpfbEp1RNCr5KTmHxrVj8zyUHilrl9GV4ZEdsIYFvv75NT9f8vdb8OO7+rLeMdXJR1H1yak3sd8S
Uq+iM1XL7c+v8uPPTucjYec0TOPLt2XOimkJPManoCZijTavLf7hs1s+/a/fDjM57jYHShHopc83
XcWAmcmXlJwsSt/JVjltPsYYP8Ik+Yf38qNP7OOVvixwVMRlg0knOSloNuxLI7iu539Y3n58Cab5
igPOR7a+3Gqxkva2PofpqSiOBr7XMVZdtDD/sNX96BHiZvvzKl+++rTpIzGFXCVOXzKifjXJbxCK
IIdLxUlKN5nxD9/R396WKutEPpJ/wlYEyO6LzxBaokUiUpmdRL+pm8fB9Ov56hdvtC+XoJf2cdku
iI0gSRWTFJIVIpDw6yXGP3xsf7uXv19imeNilnTos32+RDKOuURKYXZqsxdp3pnDf7JGfwEUzkKA
1YznhMYbYtbPF2DptAalmPMT57y8Yxib7GJAOYXz9v2z+leUvDz8/70re/30Qn/hrRA/IO4ur/yz
LavQe8VwJ1tslqxcPIR/tmWV37DWQOL6z0941R+TfnqvGhYyiFv8SwXd+LEti8Beh2jICRYWLx3b
X2jN0hvmNvhrxUN1g7CHp4kbRKb6/NttoiV90dJkGI7YH2Sk/nG1htaY+EvMSG6NYk1rkZTf0dD7
hyHJ91U7OhtTti1gKnHsBROInqCwFfqzpi/ZRk6GbmF5phxLe1nMT0agzvCTxNtg1i1NIzpoVRZc
a51kHsCO0PfsybCoxr6+wG/uJ2F0R36jPxAXzeTDPiOp8gzd8ns6TndDlJ9Zenqss2ZlKerWiZkg
OkkeuXEOTSHJwJDPE/yfUdaxXC0DK90w3xJLvx1M6THtpbehX2ptFAveOEzMo8r8FTsgbWhZuhBy
3zFDLBDHLTz03jGfp4jqkBOQ4mUWcuie3vWqm8q7KC8vVTOk+UXWsTWRT1R3JI5iDO7CQxjvaHZd
kcB8INzubcbQNBV4GaphpTXpBTaHNSkt33ImUYEavEDhvekNhj1y8j6FGFjiTL206QkziSYMuQ/b
WzivtF46qrYuizLEC8i8a0cjR9kkFRzF34ourr5tbTnxtIw4HLlALzWXjCnzWIF3GCASl4TZEroR
btNIJ3xU0jZdJyVXhpKpqxFSp5tMZK4oMRoKo6Q3SCxKTOt9IDTHJlZplhpCq8bM1aVS3nRjuzNk
JV41mojXepcY247IlfSuCCUrPKjtnH9DYguaLKPzxcfXz3gpzYF5Vzz4YE/eSWjajlF/jARATi1v
hXUQgWidx4ZC+xUFqyWhVc3IdNWVYG200NktOR69lkGkF6pTsa70oTzksxrf2oN919Dc3+KjfUzh
IhLxxixt0BO4zlVHMPxk3zjFsNNy2glwvDbZrGTQ7ZVbqQuUVScP5GkGc4HGuAivcj2viYlRC0wi
ZN7LfJagQQ5jNJWgOGILm5FVIvvOxhNE7hY72VARdNQ/txya91aq9h7kjrdKiWhE6JPsx+gBJLsM
hCuzD+eSoaB5Ft22AXi2VRszu67NOqPHaxU3qUpGbaXEJJ/o1U1pi5UQpuTO3UyvEKzxaBaLVF4i
RUzrSuYU03Gg/+2hmSORHJm3b8TqsBdYlBnrQoUTE0HXQeXV0XBHzhBAUNJdXKwuySrUHcJ2R13a
SZIzPKbJMJA2Xwer2BbFBul7+pJqRrvNuqEm4sc+S4do3PazsP1GODMwlRkBMDOf5nLQlOA8CjWI
nP100ZqWg+BDQnZQxjyZed+saSeOK6EC0ZJs/E4tsQRMf8bZ/3c/+n1K+NP96PDWvLy9/l3/qX7c
i5j2QYgwDPaORbjJjz7sRapuQ3lnPscp+sOIUIMWSWcGuRlOGNLrPgIklvht1NoINzVi5xYixa/s
Rd/bFJ/2Ihv1KR0MPPL0MPSvTSBNUunN12l6VGRdNGeOiCsZ3XSuSyhJUgsirtnkk9fhzYV8nq46
GIsgT7bjbicHyaZY5EbLSETYd0wZsCDH/Y2i6c1eHgmCvA8WBYIpeHwmGilEai/yBMyARpKLbaVi
gYwRMZTpdBwlfA+OpT4F7Jseus19hfChMEfIQUghRiQR1aKN6OzxDpnYq4lootJK/gJtrrbhaADx
tcut3jqXBLa892Wj+nmSM9NYdBjVINLbAGkGnPXZE/KEyXdUjqwPl0OOEcRcFB3hou0YG3vbm9hl
8nTYBqb6oC86kKGcOr9ftCFlWfc+xW2yrdD8+06D4t4oA6QedXTfpbVYFUaVbkLyOty5kpW1BukN
DZMmJe5gimgLJZeWLAu0hZfEwjg+ZlK2jSK58lMdy0WrKNme4PPwyhLW+M3sYXqUFshbpKjGMUaO
6IVKrFxME4PAUVdPUcFwqmjRyJs1qCLCxdp1VOYKPeycS6uJTfhTLbaFuuRvRw3kr15hgEfsWnuW
sPlekm2t7e2qoROZO1Mb8jsUdXymW5Kp7JyU48haHVKXfK1UeVZqTV+xjblWnSSHCMsQKnTEgxg9
okJJlsCntWzkl5ikCHUdp3J02YLfUCp+q9v0vJSRsOXWsMlQqHhgUg6NIx1aUIckGOLUrbIrjPNn
ldo8qFJ6ngw4KWo1v9FCjigisl90hCAYsi6KfERzEwkrRdc3xaqvab2WIAiMkvmA7rpwZZIK0go1
Lz7VgClrtOvyAIhmQBd8NFXbz+fwZR4pAwK5LGn+MrEr86ZyDafAgtkYL0xCG4ANcuqNqmhXWjT6
nSJWVj7dhosZCkGxwdymT8hpZJQcwIkU5pDjNTcQ+YR5jHgjRKTFn0z4eyNa/xYNPS+VF2WnQeSu
Pes90W9xv5JH+cIyoK+kDYq4qYK6KOMtNeMRW7PBKDXO8NPKufpojgrSzam8HhaxtDOREBIUreXW
hMM46KBcFAkOKknrLQ/C16y0M7y+qISSCQc+hXZngOue8E0pbLNe1065XyoL86QcnLXNrS8DXlgV
ciPCVWAIWgsSA0r0WYlVpmdFK8qbf/eP7/uHRovhZ/VM8T8uqM4f1jO88s96Rv4N0A8dYLpl/LWf
ZCYKXGGdpiDtrd93gz/rGfM3ZMsqcCIGfbS/KOn/UJmQl0QUEv/LpCu/JIj8yhYCI/hrOeOoxkI6
wgjKpsVm9rnqBa5jGH1qS9y9OcjectcvDvYiMyHdK+TupNa0ldB2ekmUX1LFkOIX8zAMUG+Hibj2
LBFsKei4KuhDnmyaJcmZE1k+NfkKhEw8D/l4h0DtsZLrw9RpuxnaynlFVqSvoxILKu02dJpNrmCO
DAXLh5rUHmqKF1OJPSArLXxh+dIB2O4OdmAAfW9gWFrvI6iIdTJU17lKsqkCTXZOZ7rekjX7uVPf
6x2M01ipkL3h0UrCCpsaCRVFjaFKkZrNkBJ1qEMdcNsOkSQoBZYvEncYgBlgWYlCfayyXpouk6G3
+zWz0AGBQLk8PmyncoU9Z3nOHB64cnnyquUZ7JenUV2ey3rS/H55UtPlkV2eXQf8S748zZ2cvAoe
72B5zoHJGa4mLrL+Vm1hoQbLejA4aJgh0F9by1qhsGgky+oxOuyKgIt7ry37vRm07VktF8+1CuOA
+ACoBj7SNko6M9fVyzoNU7eILDAgExrAqPdTq0M6O6byUu7dF3pJUqNVHqt5LM+pHidPshy/sJyj
Fla7IisvWqXd5M3CK7TORiO4Jw4HP2yqTcxlknVX6PJO6Zadg/ftf4+KCswyc+WM6Ft+n292SDhl
H1uhj78MZYxCoGQwaPkxsOWbzM4QxFUWa6Bp7fU8FqkrhjoG1C+pmd9kpmn6ymAfZnW6lFtMhbJJ
1GfCiug3lXy9TKuDugF8gtijDp21NKrw+81L0kR2wYI97IHXyzMUHhHeCDs/kmK6UUd1CREnHxXa
ZzuwqicGbKs8+UZAyg0ZKZuB0ghLKClMTbsdu/CmwoHcDPE1qLh7Enq3xLDS9M6iyjNroyFAQANp
hSRUxu+zHq3p3MSuv+crJ4+zS94SfL59w+8mTaHBNjfA8VM5qczWBkLnIzkKPumRgSu67DCHwVVu
1NVuYuE+1yT9Ou6G50Jq4cLcNJ2ieE7tXIZRsqpaNIwV2VGmghkgGZjIJhsyw7Y4KxFEadoB8u1j
3oUoPS1zTeQUJVldoesI40VQPXOHDk9OoJS+DH5yNueLQaa2lO1vKsVQ2UoEhY4rSEvPIE7NFcfF
6zmMjgOY6LoZziNDuctqWfFldVrXwGS9OJUuAtnZJHlBLICwFy7mcw/oxNeG4NwJp8HVemgWGX8M
Ss4gOuEOTb6zw+68XwbUOhkxI/igM6s0mNjaQ6aulRhhtDkDGLmKZBr4QD/Dh4TjQgEmAuyB/D5L
7TaN+wfozOvB6f3J5lfQ7EeBtCnv8ACXVIea0iGzRZ8eVveThT5AXVoYgw5QUe2ubKVmkDuCcmwa
7T7umt3A2DmT+gBlmX6poSSh832pFk7sTXN/MPoh8kaj2ARFY++YTmyjlNBlO/2WqOk5mqRbC42I
S2b9lYgWPnZ2iIp6n8odicg6Ycd8F3nVv+g5j5rcQDxXaSbl3S6cFEIw436bqUAfHfWKm+Ss7GiH
RI04toG8htDdc1f197laI6zTs3XfyqcSYi0hBHvg5IC9B2kHf3Yr01QWOAHyedgOKEecOT0fHbER
2Xwp+pRU27wmyqfZjxW3rE0Bn7fZLVL5xxQBnF4bOwHxstVJ8C1NgObRXd/G14bd3lALZC5zwHVv
RIiE7OdUrojYAEY9k6tMGuk5J6uzYl40y8qA/CHdwyl5HDPt2lkM6pgEXKWsZS8x5Y3ex+uiqo4G
wROxZb//ezb5vbb96dnkACT45Qel7YdjCZiHhTzoUMLSdiIA/lNpu/RYGe+BrPzdwPifNivYNaY8
kH0hr+E+/HAs+Q5k44zjaNgRbZBovxS+oy/zgk+Frb4UtaajKJyByFWg8P44T6jLGr11lESnmkYZ
RLV0QI9tWEcFVhinj1BaCICYAwezcQnOlR0cQpYecKQfRbO25VwR14OphM47uV7bRiq04AkceCL7
A4GE0h5lL85GBSEi1MNZksITeLaYvmitR1XvKZ060neajTmLPaLRA/jgWGgIE+8nE/cGFZeD+K2Z
OmuGPBzX0dbC2ED0V2JIrgYswNjWYYM/vyBOmspuyJpjiPeCA4oGscUPbfwXrHEsrLPopDeDtJLN
v7f+77c+E4H/fiy/eKqefnDn85o/D+Tqb0uagcFMjIEvo/IPd77KgZza0WRUtqgoGN39NWDgSQFs
ZTGSWNJeeNUfJ3L7NzIxFtygtvSKZGYPv9DU0ZYBx+d7H9WZRlOH3hE4Fc74n+/9pm5z3QABfKwq
cjIVVeDidygOK2O6VZJ6Eyxl9KDUq6DqnuUueIzNkeCpUd+3RpABY5Bunb5eycZ0MGZUTQYaT5yy
tFLD+GhiqpoCG5hhqHgx97lfox9MR+cwaMZ5mZcbO3S2XaIeE7nQXdvECduERYK4dLg2DXLghKa8
SWaxRz2PPKPXw4NlAluWKnLg7drwJxU/fS0hSgQLJBsDzV/VvrMq7dSq2dGgR+V2TdGjfOsz/B7T
JhixYEyGc5kl4XU4pB55q8AsDKTYYVbKPNP621CGyWGeu+qpEFxnMvoN7fXQ0zA80ubYAk2U1+Go
NCsswZEvnFgWyD6rs04O04XLVridajmrNKq9ODPWTp09QyFaLQZqt+rbTVc3SLtKmPPsuePakomd
GNJts4AVQuF4dRutGj1TdoRp7DU5i88UrI1BMZHv2RCvGqSYClMCCJzBvK6V2CSdqBGehPEGjHuj
H+3M3BUD9rByhiVntEa2o5i6MIlm0opCeK0IHtvQvkkYCe1iSdvqU/DGTBc+E+o8QnDzVWsk2GpK
vGySrm/LKGhpGuTyDUcexJWjscsL7Hp6WF3RhNoiDre8yEDrG85t7ZVxGzA07WVoaWSRVImzjguM
UnMUT34dgIowwvSlUQp0jDUlhpBm9cqpFZtVMCW1CSsNJtdoJdGRW/eD7KSYW9UcFXlQ7MxOMras
aYM3SHa6q4iZHy2d1VLXSQpRrWQjSiOrt00blsE1wwfpjLzY11AqAWUGqXM2VxHH0qzZNXV408qs
6rJQt7pUCS8Xpt9GneH3drGy+6LcF3ZzaNv8vRxhZOnzQLeyv69aTlUwVu46tcbzCnLI64PqvmfE
41vtfN4V43mey7rX2An+OBuDagnAczAOMEZ4JKQ7MSjM84g6SVS6QWaoHy2aaZ2NIjymyYhMvwR+
1m4AAZ1nJrYJ2RGPtPOPgPNunTHiAGUEu1CtAa/gi/ISpY79JinbdRwVJAGkhyjEBp+FkU874FAw
qRFGj0bHkl7jIGZmNdVeKIURjir5VYurO+rylRRmbDQYWZ76xvAlRXroyZmHWWQftBE+hQJI8tJM
9UfUJPtWsV6tud1PRnUxK8A+4lkH9mYcx7JUD0WTbzK5zvzKMvfa2HDcJZxMUqMr+GjQIOPpUbVu
UsnXJ3tfxfHa6WF8B1HceAVM9bi3SGVJs0t8JBI8luahksRVQgYNEBXCKqmePVPjsD3gq43hjErm
dl5MJWSgoS5vEERCI3GzyDlYjsPBMT2y43qdzreuIhftrTHcpPn86Ji9WAtiKE12foOyOpOS0BN9
fd4N886p4mecBMQuKMoKdL5D1zq5Fpnx7MD6XDFni9yitu5CCTupkgc8xGVEFzMSNHlZC11nzsZN
W3AK/V2C9+9gX6Up9JMd961/ev3Rnsur/txzF9sU/SWZifn3oKwPe64Cr1eWUS0ymmecwXb4x57r
/EYeN1IAWPSY6nn5X3suOADZ+D73IPmWvtUvbbnfU3I/HTctLCmYumjU0aHit/i85ZJXUWlGEE/H
uDhpk8XWQR/Gxa9/O87A9uWJ/A1HLc7Jfr1iIvg8VZnkWXCjSNuDsIcZVHYt4Zy16VLRQaQZJfPZ
idJD1jl381zfakPxjiB5XUvmEslrPWRVXrl2a6oelJeNrObn6J9RXge9g/FHoxiHFJiRPQAEML0z
GW6stdLkOICcXWU3d6H53qcZt/k0P0sBkVsso9uh7m7TWJwaR7+IbbjaCIKu83QksmkML+DznjGd
rtxJaveKnXTo7GnBjCXveYYMquEw7nadHa1pQAbYM4p1EUnfuir28I+4yOcuMgJTZp1gpsKyAvoW
LW23oVtBclrXNl4vmkCuoiuvsLOObaqYDGDr6XoGZxz3AXExVevN9cj+l2gxG7fOUb6QElKSjId8
Jt3GJBGcjruc0QSImSQPQJSlMSDYqIRBOfSrjIHcypk4mQzO7FLXX5t4MqBXGneLRzr1QgBR147V
sWm7nVGi3R5NaLy3yjDMiYcHrCa9qBZy5NO57JuLcQoTtpsozPQVYb5klfdEo5t0y9ppI2fjdh56
0+8wrLhJCLxc1nvPmoPaDXA16BbFAnantyoxDpncOi4C1sdZ57SGHHdwo6C7FUXxGOP3CAycX4gG
DL3dTV1HphmoADMptuSASn6UViQuW/3BkbGzppO2Z6b0bdLNs7yqYKYY01OtGPWtnuPTyHV2+N4d
qmFHobIZkyQAtRaAfouDLepPYpBqbT91JCM5EjaHSUK5Mef2ndTj/zFriU6JimuwB1rHgMYOht3s
gF+Wy8pkAlSsnF4icqmuNnEcWS6R96dCDcDEopknANhFeX43Z9m3zFDfS43PjAX+nkh1wr7SW+wX
D2HenMYIxNEobFBo833bLEhTmFXBmFgerAW/GMVZ3pF1BrXlvsdgBJ72SUyxD2RjDxpspcTVA+xr
sQo0OjOpXFBdNdkN28Vt1Bq9W3WIMmQr3eMA9KuZxqSwHmpGZW7TmYeGASP9kY2sYRfH4LWRJ4xp
Xfdo2OEV2o21pRRHRO/HsZIdnrFZhVHHNKw2i/M57S9ULVynxWtKd7PrSQhqh2BTxsMCZdCBnRkQ
JcijtGWikxyStLh2ez+T0OMxdHzKA9zLhpwKDyrCGeBs1cUSdGPOHBrGMqMT11g3RRHuMXA8zHZ0
yJzxUlOlDUczXOm18xosyGwH2LZp1WTK5NyAweL5GX2A+m9GsoheeuWG2/jeEhSnSlBeiNi8bB3t
1ZknUp2l4VQGjP3yVtE98GIEngWF4WZm5Li2aBTXSMfsNKXOVZqyrkSkz++CnqyVfFKGdWE6z2Mg
ntKsPgVKAxPQMoJVO8jQ+aba4Vhj7Cu71U+zZm/oVEeMIfs6ua4K5SWYMJGH6Xw7l+W5NofPSqGc
dVk3bfPAkXyRqhcRQ163raIWm5RdgMkQb2VF476zonQF9Gex0tVs7OAqXLLZGXwZWeMFenMONhTm
uHIWd8ouisRVExLfihhlZ876xdhJ+zLnXcZpvaoEBF1jlnSCusIV04vOsy199W+R/b3IXuSV/33L
P5F/9dT+vcxeXvVxy8clTU9okUeQ3/Jpy6eHRHmDLBmeKL2iP7Z84P06P0Kvh/YPzd4yjvqjzOY0
gIKATfrPmdivlNnWohf9tOczkAP+w29BYW9rX1WxJGQVdIUm5WjAhUu3zIFJu7Pr9JAEmafP7aUd
zd8CiHRqLbLNEDrfSIlDBgYN3KBycIKMnZytFWsQSIayuTT7kthaed8FAAfycaeN7WrutkyTHsow
PAvCNQbPo5I4wG1Ax3imsSR5KDOpXi06L3OaX9ndIHx0LMV4UB9oaGW+rUnkPA3iYS7z7cCytNKM
/sS6qPk1AWT8XN7PPXw6lJEHBJJ4w63srpAY9eSN/BZX7fswq682GUhERqcRoZbjdW6PAxIK/WGY
pG/NTDQu4ZOcAEwbZ6VzUZjTtJf0FMwXqARo1CSvB8mKkSR/MGjfjaDT+YPER/fKCkOZCjUyZg4f
6OoqjwgnBOn5Iqf3rJKQ79E+IEoxhmZrLn6RwBIN+K9h0j0jxW/HjIqgplVFX2zXtMDqn5QYeo0f
jwhVoqKPwPsV6Rb9d82WLXWu0MfKlxertSz/P3tnshy5kWXRX+kfgAyAO6ZtzCODc5K5gZFMEjPg
mIev7wOqUp1KSdWWey1LZUySwQiHv/vuPdcb1oTXqUAbx2QvzK6ifjmaPRJB39yEYwm/fEqrm64Q
MThV4gnKYZwyMXEs6gpKeFjCRMnyBMNICdF4qswFp3m/lpV02evBJGra0GLzVrCl8Xxrazv9eIMw
Kgl+xvqK5eASebw4gAzjMQi+8uxberxig1cfQsJl26EKeLYh/dWrEvES6KTwt0bSfphe4dLEV+KE
TPxgZ9jaa0dv1wJSAeV6EBIXBoX2i6jW8MXo9runFdaihZ+xzhVvVa54+1RvYbJYcXrtCmQOg6ZT
9o08Qz0jl1uZCkJ6XW1t4ea+0y/hbcGPInFWWnrtTEVw4JVDvvT7/MUF2IYuH+k7tpK8NlBfFjlw
bm5YTVKtIAbxJEFGfVUj8aICHNOithi0Glerjj2ex2PQt5S8hCSciMeKrYIcS1NDKOHeWB9koCXp
7pCoqBTbmcSLeZPusm3sqZDp1pWvesZVDSwBoy1bSUK+lY3NRnYQ0XtD46fMbXj/kF75zAWHihF5
109J3qxDUqT6ehDuwLzKtPiRgrTduSjLN8VMvCcZUR8bf9Kro+AmW+nDfaoZAWSolIor4SWbIi0f
R80LlvqE4bCgBAfBgeb1rn4G2P0lLWhB8F2vX4cZD+Auw20S6w6UyTF+NPLiOi7r6OvoEcA3wyA8
ja1LlF019JS1N4T7XHYlyMggGcq919rvYdp9bXV/0wcuayRP++jjZoa+Rs+4jA6pTJ8Gu2c5WGuU
N2TVfIh4Z16KfZt4HwWfU62d9bjMvddd67o0woOCZLLIq+KKEMCbaXtfulQbMOYO183Ehsqtql0x
1XcYQR+ofvRB5jF3l22FJ2qMaGeLxq0wuR1TKM7FmuxjH9ToJOFtoFe0kga+Ar8vyqMFrJ/LJiGf
3NxFRXhIHP/iiv6sDVhrqTVx+aTgucHcA3E8SsnvsjN7jV2uwHbSxLtAdDhkZYs9uvTkwSYrRZ1I
AWPLyl692uLM0tt8bYvyuui1Oy7uMyI0iQ5B3vJRxoK5Tsbe5Ufifjriz92ogTPJL/rgJqPviets
rd2084dn0n2fqwTftJn7k2JgaVsdvPJtCuZq5ZrsTzlh2m0dU82hWXi0lTTG9RSH7pzpTjlhnHE7
tGO89utIUF2UybU3xTBfK+ujHoNplchpz5b3wtX0mIn4RGRkXnbq5lbATFyzjPM3CbCJDUt4fZuC
YV9JrEo70x6suVJuEYXpRJ1cZG5NMXDUx/y0Ycan1uyRTdIckgd46xQ7EaeUPvck9Tm/qVV11o5a
9gDajWFvtZhxI87oLSmDJmDjgJbHMfWf7sV/1Y25BO+frzqX6oWK8L9edeav+n7VgaYuZzA6zs45
aDBfWr7bROkHZ961TIQM17Kk/cNGQdAc7tgs0kDQ/E4g/OOqI34TLkhPLiYUvrKI+CVOKAbNn646
bCbYTXjYj0DXQjuct20/hCpLHuNRD+YTs57BXWVKE48Vl+cftaHUj7lTc9Br+th+lXF4iPzx2Q3w
wCsnfhMdHaLwrnpnxzuRLoNS6DGlW6VaD3GEKgd/vXgMqo6+VVA6dcDTHAaVFkc2T1IlqhdJoex7
w3mHpzy3mL1rJM+cLp+cUXATgmsv101am94yrSQwsiqGJQGaGzc0YmH92dqdRMoGfzKXeQ9V9aG5
9P5ac9G3FfndIqT726eNhBsUTzdNoGzD8eAhNvLkDWkNT1sDk0vBekRnh9DfGGI6hbSMk7w6ySLd
G7SPD5E/UXpD88uEsL8sapINZi3Dk5L2Vlfadcx4c6t898h1j7l9LjkPvBqiVF1Qka31yXq0Y9Di
SuOiVLaXoakvWjK4iz7gnjFKhBJ8QuswYOvJFNZo8NDFWH0kormLUv2OlVVmLbu0ya+1MpnOQgKb
LtUmUHb4BAdx6TRUrdd+RqI8DRaiCD+Qp+OlqbDXmIW7gNyOMCKyO822+o1yGYSdEkhEheoL1ZpS
dbhBGCGHhY8Fa2UaeXjpgh7lAOfWAtP6phk0Ckx6HIg23AB9rBbCa/OFMtkURdoZ/N2mw5XFBVXJ
h9qji5sRnyVo6m5YJ0ULNK0l7elYYpSjnrkk8pgyNFYxXCV4oNQj2NUfPorYFoD85P8lBD/3wQLa
BZ9Ef5jJ3fbnTJge9nri1fGVqYfEcNLefKHf1F3ieKKd/t9R73PUMzmT/vn8u05f3t6rvzn/+Krv
5585q7vksnBkWTgcf4psYWBE2rXxGXzuRr+PesKj9w18MkMghmtDpzLij/OPNJfBThUGF0l2hsdf
grNyzfjp/COyZc0p/9klb87J5T+ff93YszORTn9phi5Zyib5UnTjrVN04O284JIZZfzGRyyHYSju
ITeiEwqNPZXTf2ghbWgEBoGDa5StA3PT89QFTMUNgcrz1ypgwTakTkXUKb+V+FvQXAt/23f+GVBr
juHKeW1FdGd305eQXdbSTOFAmkouBxq7d4mjDmLe82bOzEr38s2Umnd8r1XfYAaqAImDYx+pOHex
V/qUHTaJ9wCfliVHEnyLa/csK/9Gl8MlDOpd4aCDoTXdmKGubxh7aSOQ3fVgOgWTomkvHJN7AiSM
WRJaoEwvBQ6LPbJ9xHGNt40b+MZriOggI7vrFl/0WiT+1qYfAVdZxqGp5H3lkexieG2FWLfA+Bkp
CM5H2bifjFgum5w7FMT8R8v7lhXcwsxh3tcdCIQ9US4f0QEFgkrOdLx2RMq2O3Jn1jC+dzr2U8PZ
OEIDZqWHj4HBIQ8tcIlZEDonrRpstNjPOQC6nKt5wxgU1WOhWa9tOx7xN1MpSQ8SoKiyNva0jd/Q
sUVFmWXfurxCPlbEhVbA+UvTq0p6tDXpr8kw0bSkeyhiukHdmdM/ZKZ8jl3virO1Z++Uy41qDfgA
g3M0YvceRC3lZpP+GHVxyl0Y1qbwH9RQXSkEqKBKsG+nKVRfGNmddq9EexrC4bYhxqbb2hMZsjeq
GxDUcWsuKxUQPJtNjWZdfjjjeKe3eF1K6Z35M5362FnxTFz58sNQ1to3Z8JpO22UU9QrUwLfBYZt
xy7byMDZTrGDQzYvvorcfiYiNkIDH15kS0EVb3IWlAFZjq4pTkaXfvN5R3oVJT+SlnYjtQ+tPe4K
u/nWacTazFDcW+w/A45+ylbKa0PvGyhLQF/Z3jG0aWO80kKoXaNw56qR5DFueJEm9PyFhUK7kJl5
29hq7akMvFFG4SYcGoUO0gdXZls8DvUzZeyCz9xzhimgmEMcYcATBdYq/QljeDP2lbf36TwnQlEP
WMUAgultLwm0GDG1H0zmkaY+WIs33glHRIMKGfrxuG6ypJweuk/536KEEWE+YDi/y32BmK4F4jGS
cbGWrA8ADzDdsVAYcslmYV4xuDGP8NzbUinC9sFw3RW0lfQQEWJbZwB9yKOI56KzYgglfNzSkLc0
8Fp7EbJTjQgTzd2Lq8D1hjuX+WRRhOFlCKdv87MX5py7gkS+0Vmb4J3lWjAY/jq33XAFAmuTOs7V
IOVMtoSa436JWMKEroU9lLWM3TT7iDUN5LNVytomjdqNmqV6TJDHQtVcvFjxyDCnIB1lKpH2Ha+u
sWXWuqpjJHnWQ3N9VyUktxe/f61t+VgU4inTHaImrJZi6g0XZTlNtDFFj1bIPMhOJFy6wrjq591U
Pm+pkjA96ayt+K/mcphD0mVjsQ1mt2WWpNlF8jGy9FKx86jK6MzF7rUiM7vUKXy0WZPZ7VzAVoYC
S2rPpNiwF9d941Uf4luXNRt/PPZtMaGFJnEesq7r+YSIZmn1brguaenGESpJmbIBilF6i4YP08hH
z0EDrkNzX8+icIQ6TE8NGxLjgDX3SEzmBDsRntAsKKcwRRd+B2BZRBkJH4cQjMyMae2jRWuU8m4K
r4w3TUudplL6VT5L190sYpuo2fh0X7QxO4Wo3NosdxvD+AbEO74byRstq77fqVpi3QBKuHKC8q0v
dBzds1EEffohcu1jqNRbRDk5yUw9u8fJsNNy8wG4XLb0EakWqeMDhcar7fpcr+x+72TKX/l2u1Mx
TwfVUFPRM/BmKe+1Omu5tqV6oFVAnGbRjgtZvmYcqSF3zRlR8zMv+u+N6PNGJLFc/fON6A7nNLCJ
9q93ovnr/rgTGSjZkJNIDuIb+wykf58JTcH1BpckKJh5LJsRot/9lVjTmNGgns9Krcfk+MedCGX8
M0vowijhYTQPmb8gfxNH+/lOJBESHdRhrI6Mpja79R9nQsNvaWCqwO0OlU59XSd7NCvZLSbZ70Cz
tzzgWRqS89Uv/BL6UU8zKlvtyEn25N6LpwjQ1hmYysyIFyX0F1vurKGtr/rEV99U42dbJ2WVGqYO
xpyACXSpPK0XPIi04bqusuZCAk0+a7rdbAyfnP0SgSRdTbmfXyWB8pCsw9txSC0wxYZ2MEmQbSfX
zh4ad7SegTdSNGda7bmpQ2eftHlRLpyWrJthETcXrd7Qdl2b74XVpk+0geW7wKq9FYTM+qXjDgvJ
zmXZWHn91on76tiGnbrp45yO6ajZBFGgVh1mdyzxWi67t6KmVeho0CEFD7gpknZrfBo3ZeDNBfWf
1s7Sr/Pq4oSUsTqBMYRwLr0Z8D0bQycq/pz+ykXFtXlUS05WdMfedUiSdarXVhas1OhoazlBl6hN
x9e4M0vCJERLvNIfnm2o4C+j5ljFAjpivglC2zqMPLLvmr6YXoRlsTXIzUhHiUUPigLkXl91wSvv
pAj0/DS9+HU4vdvR8FRp5SYPooM2XyIyg8bQ3sLFrqk+MEhptOM2GSHqBQYg46QY1MpqvAQcCmzD
FEphEG3qrBGc+h0mBtCRX6QTpfvUMx4E9Yc7pVE3Fep9t7DwwHE7qe07N1TZvtFwVJADsq8Gr9RX
mVl4+gK7IIynWs/e6y71XjUHuppIG1CCQ3aJXUNbVU03bDtNq4d1n5ZkNAc/Uh+OVrBIV37OlsKd
s/WT/TVgPbiaPCd+GChNPTmxjAknlvGzQUHcsp8IZ9QJ5UdTO2hH3rwYCJ0ZxR1U/pM7Zf1DHlfp
ui2G6E6LBnUddjwvcqZQsNlSdjUdbwzyHWuMZl0PVr0KKty8yyC37J3ZUW5odxDWSTAMvbgZ7Qqm
JT5f413RZrApI2ilHs2JxFzc/9BR/lXn5mHtn8/i26h7r+ro298IdPMXfj+MDfmbpDuEwLbOYTfb
1r+fxUh3Nv4i9o2f4bx5dP3uPoIBzWcDEQ4nLgUiNIT8MZ+K3zjSSYQjyvwHAv0LZ/EnM+vHTaTD
CYw8iKPetmd+yXxU/yDPhWYORbIVtAQWZamckwYGAMgvu8Q6o/VVxsnFa02RrNDumQmj+f5v0Djn
cHMiVAyQNb20RamxORm0vWXl4tyyBlr1Zp0f2blndwxB/aUdpDrNeca3Jmj6g5n1yZ00OPpkEXv5
shmIpJkRxlLp+hsjruC9OtChvzJJYpHQOq4yFYEpZtxtYhpkhtLceu1QhD40EU23Zm1HLahNMuX5
aJACcz2EILsElRGbzFZxtsRMklxnWevfm3yEblulpeGdHltJUFN5ZpTTHh8o1poKxRTYvOHkgck3
bMGM4KDgaVmFK+T/YnyBcdrdVJXh4sggK451Z4JHe2XbKl5nVlTGD1o8gVYpu8RxiP/aZUXYSBA8
sToIVVSHib3ssmY9IUGsnAnTCGxMt1HlipLmcKV3lWcdu1nA9D+1zGyWNYk+oHBq5ax2jlEuxHY0
6ng/hmgYq2KSt3S+dw4nAaJpgXrakBI7KBsW6NkCtL13SzfqbicOtc1IZSspuZA3Zn/OvHTMtd+1
sX9PhPm+9M8nwt1L/j+nNqr/5/Ia1ervWEM/Cvdzv5eJj9BDPYQNhHD+/WAwjd8ExwU4d8qwZpPC
/x0MtHgBhncp+BMutziPr/ruUZC/caniyz5RW2D+fikK8LNsT50qXDUufGwWkMNm6P2P50JFHVJN
EiG40IaxqE1I0v8fdfPn3iJXkgESQJOQUJmBWEPM0tkPZ09mFLqn0nG4ChJnn4ettxlMM642Tjac
B8Eikkl4rLfT2MVrKv0w4xqNS2Md82mxcpE0zk7lePU+D/zy3FaUqOCyEnZ5tm0NrKqs2zFY6crA
3IN7aF2oXlfwdGBDV5rUt8NQ0npX0DnSgyHdVqEs13XRx1th4/DNO/s65hAAZMlB2BbQgiL80CbY
oCLWqFDqp+Iur6bwI8PLtxEGIj6VmGyv13yipBnT5MX/WhuK0W4dykwXd0gQhBVVOZQ3Des6sjvT
ZtIMi1tV+CSUcQyHEPc5ndSLxMNT0JVbUsinvrWNhdNoV9wTH61E3JdefVcl04mSz0fbynKiEmWB
h1qeykquA1meQgBitIkme/xT0SoY7CNtH3SoAuXvggL73QAyGUVjKsYDScZnFccgkFOH+2FRXioK
X3eQDCh50V9DOxmZGNG1pA/mwU0NtsgF0GAKoEayuAsCD3iuJH2hzTBYW4wt05EykGPna9uB4o+G
jtZtllrVCuAGgQBF7CM6Z70l1r6Q5SII1Xaaqj2NM7chpa3bOLfyFdjsfUXZDNRoY5/XQwVQN7sr
quYYCmREDWj129gl9XKsgn4J1WszKN6qgxGtJdykhYZjH8FkP6jy3Etq2gzAzYsEgZ6HKxWqQWzd
WXIsSEzR0lLnOLeYs/GQ+BLr3NicS7vTWLNU+w6a1bZI9Xdpt99YlLhUJdrZUXgw4ajntqIblbsZ
IU4ZWUt6KrFSMjN4SWxsCQC8JVq4n2yAVYbz0ITaNg19e+Fik/MTd9kK44Q58qbLcaLBP6LWcl0b
2jKzCYAQQt26fWOCt+eFt3JnV+vdF+7+ECesYJbCvvLkORd6IygGGQ5Wql9P/KOdQfwU/94kDYwn
2otZk5rRhj2EqZPwtZ3nPA7+18KdDsBB3I1Fs0HlWA8llmI2u68dlsK2oYhEZsnJMsfrwI8NCrUT
lt2J94yj8Fkgm/NANk6ezKlglxdu3uD3w2U4sV+3pnJDW/G9O9QPkmacIUiGlRWSc+tmREQELCvr
oiOTzJ5nKVuvznhUWnjvutmDpmBg5/3GCdSH6QyH0tMOw0ABA7vyQxl729RO2wW2ipUoDMLTrWxu
ZR8f+P2OVqx/BVWGi0mkJLsL0uOmUIA95JDsBi0znwuGnqfaLUgVDOPoP2SNn9wOvgPJf0gNnDc+
7PqoCVellgCapgkDTMiIM9PU9FXPx+LUKSu6auXEpJRWnV8vW2XPnzBcENBGPLBibum7rxNVXauQ
6lytNu11V9tXPjTwNb6tDg+RV/NmprOhG9v0yLSDlGxat40O0BRRqqR+in4bw4iPXQExTCX9gvYF
tHVVYwz15JNt38X85VdlixrjDHV+cEVqn31F0H6YqHGmyuZVgsHEbzuGfOSI9UvrXodvzus4wpgZ
g1OM4gQh3r9JmuKVNqdljM3KjXGbUwFxN/NrhFBfGdRZHsa7Lm4+nKq/pNYUbwIf2jPO2Gczbjdc
QL4Wo7Zo3ZpeYKPEitSjyjV1jplhHnp8azUygceps45L81tmN8NWlbgQ8u65w5BkyYbmoKj9WjeI
3RV/5qQnNOZ8MfL60WrzL5ZRkJwY4rshHU+51++aEtCA1sdfgnDcRz0f0WE4d0z9QQa3XU/t26aZ
LlDInofQuipYC7iy+9JPFYb34hA5U7fppMdhoVdL/hoooMnXqZwpvLG9haSD6SotI2TPaB/UQ7gO
KUFdxpZ9xxqSVzAFjBDkzj1u7UMjiGQC837mSXAs/YJlNj7+iC6qXREHXyw47VS/VTsrE2uOG/wz
w1nk/PZZ6JwoL6OMOTgYKJie6rhIFkvlJhd0nR1pbSY+qlKorHzRXIb0Ptq1KboknRkvepMceK1X
0TRg2jW9g2zHm1rp/JgSNI+u7SrL/uqTje5ofZZNd+dLZ8UYMG1AAhaLLAqv2dt8+Dra3UhAWpcx
4egpOntWui398j7LG1wmebGjYKXcwfQfTwhOmO3MU1tFX22/oLRXoNWbRbPJM91YFFL217rJdsit
ArFO3Oopp3t3o+nuRcfYxLaiLOeYEHmacMg2rPTeohR7PlBi7alXNu8XQG9ruuX8hZBR+o0KGGdl
iiyk1HY0zxTi/SK3mCsI4xVJR24hrO7+Qq42EsvIstzXruL4gaxD4r1K61f3xD99i/mm9cMtZ+Rd
bCcg4K50lAnbubTqMsTXP1wz/2YX/efY5nyTmn8Ne06RkA+1xE9TnMmWjjBSFFwoWeVwvEzNaRju
6W/579+GqfMH2+rv34boKnURwjYJreA1+fFXCYp4FE7SBZcWXEIZh1wM55HkoZXXfWcQO6hIR/7O
mv93lJidMv99lFi8V/lL9e1vy6Tmr/5BYTDEzOqZYe+fVJ4/JgkkBhejsy2JFPP3+vMkAW0aHBwL
apub/I+kOPEbCNS5Rdj6T8XwL8m9n7PCjxoDKFCSxDZ7cNRlU+g/zRLeYGmKmqnwSktcc2XNo68L
+XNvz+Nw9zkZN2VTVZhoNCZm7PtMz35f1vHDGCckdD7n63wetfNSBVxd7XkEHz6n8fb30TzgMs+g
PqQdCcpF+fsQL8Cycef7nO6ZtSpG/eZz7ncbSgMri3DgItccnVLRYIrvswISDnfH2FymiU5VkAE5
HQpaHG6USnkM4hXaQdxi7Wa1zmNuULqxAHnSPSryEsT8LDWNS5lziC21usyXiVDutUg6xT4UIVCz
lLWTHp1GC3agPoRMI3AXrPyiMylZ2l4yf8qCpRvZ/tIrTOYaPVti7mvPuuZkV46dd7cZpqd1RcuV
XEZO3u1azbfgjJbuVxPn40RYyiumRUcMZVg4bmQ5REFT55ZNIjXeU5NFOyrxprfM1CgDD+RY58tR
J+hoblrPijl4pWiTYu92otlaFX+QehVRy/7cRJVh4OjFHC1jGpvyNSoKwgciRjfNsa5eTJO38wLM
rzTVVMHWASh7U1dd/BVnQX3jObVD06lt4EDC23Sf9erKE7UiKqLxal7nWtDp66CeI0iBX7TlPjSN
FotnZMbPCSat+8EjyIErsSVC3Od6lO50kaPVaq7y431pVPFwyBw6pt7t3g3ePeE5W2AJ/iaNQgT6
yDM5sDQaPDOtclh4RvVTKAxVXUp4muzUm39NO8bnimpGPf7zyXX/Hr5kL39dUM1f9f3E+hQ4ZjvM
7DMkccHk/4f2ISAkUFYwl1eYqJOcc98XVOQzLBPlU3I04c6dRdbv2oeHLDKfcCywHL7o1zjLAPj/
9KCDs0xlBqcV38vj8PwELvz4oMNlQ8yeH+PSEaSsV7EAFGbpuzjPNdJEwdpogPVatOuyxm33wImN
RcEnc2103qGxKJFRQhibIB7vXa0ot23Mmjc3IpKTdraOW/UWmINhsJhpyReCLWu1ldDaxxqm3+2Y
0dhhVzaAVjna+3hwVnZpCiyRXXWGpNYSljdDYE/GK+WdHzq75R2MgavKpONhiaE5Ib7Q3o7GcONQ
SH5TwjvjTO3ppE1zXD2ssea2u2oRtB6fW095i4yfyh0SSGWttjPo9VrHsw/ebaNvRg6NZFXP7ocm
pwPMnuMLgQJ32Qjo0ImfGxffBJcwtDn/De7SzjFSY6H49tPswq445fguOLOn2aONvFquPGzb7Jgv
MTbuATt3U0EAanLzpZmd3vbs+S6azlp0PgVIVr1knDl2GnnUysYfFWXluJ1CzIAVNnK3JaxafTrL
Xe1BYTX3sJwrNmx7q5yuqz4ZVwJbuiidtwKbOklGZ1FhXEf+uuYJcB90WAX7vlp1WNwrrO46lner
xn5hzi540gzOVqXFU9ynBxuj/DA75kes88PsoW8pTI4w1Vug2tXssjdIqGJmx3mf27ws2MEV+W+s
+RE22EUy2/VNfPsu/v1kNvL3s6UfNXuAx43NP5sN/1NdQ++sn117AAthFuskiHjSBGCGFXmBYg4O
ZHOEYHBtWp1JFRT86VPqC8Uy6vRmzSMIqnGqEcaU7bWqcbHoTh+vq6mFgtk8dWHyDT+O3PjC+KZY
V21QnppD7psMf67YMN10G3sQPonZmiAHb9dtq2Mj0CFlVYvIYIBRUuypJvO2tEUCsqbVZj/Q7DbG
9kom9atQ/VzNAW/GiGvorzZZoFxR+6eD8+azr5YqT9INNoS5EdJbsA2FdEG99sInprjoinBa+QYe
sRR1ox872pLQHEJ3uIjO35lWfh0O+cVOXGjI0aY191m28vuzx79Zy+ZOlT1Fx6NznWT2F8fLLklO
OXgv4nHlx8M2AWeml9F7nTdPThrqqwJ2z4JScYxCjlctC56jiybON0Wizlyvt7WWPdRBu0/K4NRk
uIoMs15GiCNm2u0wOQEW7z3e7QMNcKk5HVw9fQ7r6Mqy2cjatJPt49I5mV52FTVqm2qCVsd6NJdF
kkwLsD5ICFw3sAcZ0b6No5PZRicjU8+pMZSscet2YRs+mV/rS0s/l5klchuCj14NuPCXVoh9iOYa
Np8BYRmtbbaBRBb07GlY4hW57W3/y+Tz85WqxSYVEVFo+Dr6O+mcokBOxcnen6r3MhdybU6kyyCA
7XTYnVQsYn/2eFlp5gq/mL64aXqyASJqR5aRtVwlXWVTDah/0Gd6lBHNwCG5XZhiVBrmoGCy6Hmy
xb0/Y9wrariXRNq0BerYLfIzy9EYY53Ib0wNVc+YqAb02m0z6ytl7voY09i1hC24M/O+C+uz3mlU
jCr3EAFcWPhOdpOW+WpwIu0QUjgTWU2+0pvhYI8uMHbyVs0AFBj6d7q0c4zSqcT+PenhGZGJujq/
GFZalX4Ek3/P1ZI4vWEibURIkkMYf6sUDoAC74Hu9tNqDvUtc+7aZFS0addQne70uPqmcroZgeut
cUCBpfGCu0FE69ZEafPV0fOybiNVdcCNj3GSSu1lCcWenIZNv59dWBtKrZ/Iy1GXrr+U9RBtBzMk
MNp3V3abPZhWd5qAA84L9rXs5GZuIu0K9xipahfjsNlNvIlYMNtQqpC1R8d4mwx1tgLO7METa+jm
a25H7w33zGYoX6YhWDsRn856bJcYVp8LpFLESNLqPRJVou+chpxOQPSv402A9sbJrRas2d2VlUCS
HEbnXrVcWqX1njQclJGwqR1NZ30S30aDimCIHr987V0qbwq2puwfU963iMe4+5y+ApduggH2qpvK
wi5lkwgjJB288Oys1kUUtkTVRuiALCwvrqsR8yWZva3q6ilKjDuLKNYSlM2D4TTPBFD8RcW5sKjp
B8W6pKg7H4zNZLqvwneHbUW3Mj/faxWjkedu8a32JxacsdGtSP9NV/ADLXBG5TXPPJRi/r9ehcfG
g0BERn8plFasvaz95s+kId0pv4FlvsSxBxxU8xMsmv7ZQAMkuz4CLyi8DrkdbJIftyibDSeY71pX
ITrnSqkoRx4qNkUb7EZgAMBhXjH7EjvT8ruxoDQ90uKv2HLfZnSRYFOx9X3UurmydPK7O8MCzl92
9LlNmrMnZMyjOJfUS3I1AqjE8GFrRn2ZWe8BtY/JXJHqZrRFODhda9pTdQxnjAjqw9XyYK3TsNpT
MLjWSjpPA9pXk7mGVaHG6IhMNxUYQ05zEGRn2YXbMJIWbtg2dPfIT155VaSAuikpj/QZUBCV3bTW
Da8MT5/Xx38VgJmu9c/36HmZuIreg79bI/7g9TLs33TXYBX4O/5r5pR8v0oz/CMIuZi8LHLG80Lw
+1VaiN+45M7wX+cP+u/3q7T5G+lnIUjscAX/Vcbv3+V/pDBpzhEwVrCO6dznf7xKR0zPdcgz/Gxw
8QyJ3ZY4AJatbSWHLGIIBELSTQ6xWakrk5L3fJzuWozbAU7Sk2hjhzdlvhQNeCK9/Bo7qWFcQ+aA
LRZ3cAMWdZd7l6xopkMg2jTal81o3tNvrVl7o9YrjWeX1lwyX/iHZLS5G5lQ5I27yAGmcGTsT+s3
Lw/s/lwJVVk3XJa3nZ2n7yAFCC3n2KGgBOF/3+rz6tz73KI35djsZcr9EBs7Psy1PweYJumwOXHK
UD+ac8CpKtlXLPMcJliI52hZlVWzbvUxOlrNKE++PymIm1SnvrR1DhlBlj6+VkfCRyVB0l6HpvUy
jvlXJwneYhtshSO9bKls61012bvtFfTRdlkpv1GQuXT1fGmWQb/PJ93aNInW0rUU2IvO1Cl+6ZPW
gOPVs6zDWv/F0Kh58JLefxsiu9vVIjf3IefQSUtMYgFGhb+9bAccEarcypkTVXWMx1mSk0x1Sc0S
XsStzsnHH1etbJZq3Jd9drLZ0W09+sv8yjkDd572iSQXFZnUw0ov3DoR64EqmB+xoxuTdCLi4+TJ
SrneuytZjrndtEsNQDYYH7ajj+tbqzPUdr9CDZfDk6QwdZX0U7dwbGtbGB42wWZAT676q0QMbO5C
0rNeag2ryqLAO9aUeQHDltwRJBO3uW3n77Euq0NWRvmXuKO7FkM0tbNdfPz31Pqc/meA0X8/tQ7F
S0n9518lgPlL/5AA8JSyCGXWxwD159wi6gDGVVZ/DhKNpKni/84t9zdMEXx6ERF1E8n+BwmAHCQC
/u//2KfP6hdsUeKvFlU8Cd6sAuhSzHyon9JdDCjZMMixuoxUiGO0N1uj5AqWuzHAOS4AkbTPWIrC
K9uqtuhg1k0JzwQdUb8VvrxNqva9IKrIXjHcUz59DB1j0xHGSLhCat10SHPj5ObGajKxYXdyeCXt
ctJTljWiza4wk238wDnVobZht3bDFe7B+V/2zmM3cmzr0q/S6DkL9KaBngQZ3sm7CaFMKem959P3
d5R/VSl180oo9LRmhSyEIoJBnrPP3mt9a2ISxh1u+xXPCidp8HhId5CfFl4IRZRjlLY17PAOWaCL
vuFyStJTN0Ve78inUQQiOeYIbHemr6e4QxTcGsy4JL7RMq2Hb07UHn3OlW2tPWkBi2ArzoPmqtWc
fa9XzC/Dk1Pgc591l4n9qVOxDBXVEbr0vaXjCVaUk8NkV0qKc6zEJ1FX9B0YpWb2Qrl/dKLmIgy7
YzBMLtXrWh+6JUNL2hb4qp0fTe2I1I2hc8Ou282O/czRcRGZ+n0c91sJ9WxvNFdhMGM5jr2s5NBU
1tdTMwGJG6NzYFjYmQZPic1bo8k289RcZXb7je4FWT75CWXXoTezDQHhu6yeNl0FtZARsxWXJxpB
Sw5HWy3Qr6zQAo1F6HZr5TjI0+GYdJa0UCaYyH7yrBX6lVOabohRdZF2DHOk9hComTcHPWqF3G0s
6Sp2xq0i+3e6yHoQ9XceKYsqjCitsTSEvly5An8c2emA06EaL9Op870iMp+tHho98pC1XRrEJo3l
vaqy2mbD+A2VJwPLumYTXDaTM7DnNHYdb1DPhdu2gKZ31ueZUIdYN3NtTY4pCD0Frnwvsp9ECFRR
UZDSK71Kirbc5SShu40IjaJbox1HY+69fiKEIx2hMrEjqrCP5vhKVVQUd4hHgYLT/wKJBXuTeHCq
TTdX55n+CIFLcWnhpBWBVp2ItvJ7wi0a5MGRPlUeIB18n5qZrGYRilWUFfbcoLlFn0tkhQksJE7V
y8ieSm+OfwwiXMuR1BuJtK3C1jyYZ+dZNVY6aVzEgAws/xDUieqCL3jEtn4vIQeMj3UnZu+TCPcq
2YY18r4ikftVZHeDCAIr+6aFm0U4GGgmZvul/i0IWk52IkKsbCqaXLpzgt/B8XKMXxwGtYtexxHR
ixCyRLVf0YU/5ZN6S4jfK58fAEUh0wkSEWZaCdIb9zxq5ZyxGDjSiGm9gu219jQ7OvdkoVGI3+nj
9KOz5F1MVppehNFqlLplRIpaNKscMtLqxJ5XrTIRtaaK0LWC9LW8FHU+9MelGvaa1+lMXQclfxhQ
GXpNlb1IhbBgjbSwLMAyqzgZt76EjEaGGe7MPfQWjsppO54j2fomFB6j3te0KuiY4MYlhgtCtxWm
QDQpl9RKJckDNkClqWu/UB/ailYgyxS2NuCgAf2DzowepgCImiPp3yO/yjwTdAyxcd+krvYQPEzu
6Mtelfv3GkFbNMvoOagdgMtEUFMlFRskIv+5Lm/CAQ+YHJNPPJr87qPvP2iQRYhm8C3uL20FURY7
jjPwiEbJBDeTx7KGq8zH035kMn2p3g8EbY2uVBINtNOqLdN3k8/W70q7OY8ZrcdpRjOSadshlOE/
9Xe5LO8QQs/QHR0HH9cELl8eD0koXw9Buzfy8EaZLHlB/9TL67hf2PqgeeYoHSKYnGhMk1vkYjjA
yBDwOHKm3XUYJvmqHpDqu1Lhg92H8+ZK5NNudTLX4G7oi1y2pbWMnI2EOUQaeZMVq7FTIfdN1J2w
mi1lTC+joo/cf2uRn7UIpcHntcjxGXzXbyoRXvhXJYLxhWhSDMRCPYkv6e8TlMphSIXWYsAWB0v+
fnxq/cGIVLWoU0xZpnXDq/48QVl/KDKJhjAiKVDAOf+jlBRxPno/PMW9wwzCBuJgcV5TPw5Pm27o
qsychrNcXNSBvpwwZb67KL8RD/BJ372DTZo7418KHYNvKOzQH2SY8F4SrbO67tzoMeKYO0k+O8Zl
o28Un7E+QRzLz98Pk88X7yg+0TtJhEqIRcSQtDvHmFbRwgle4tQUKl7LoGguh7qwd31rlBCKcR82
5sqMATDhRPEN7JUtOiKaFU+j6qhbUyOUYIJQ4ylNgafPDg9GAYPKVhO3rGX8pMkPZ5QeRLZqoag6
GYm0oDBdCHsqHXRNDYn0QIWCPzUKNnpirpspjVaGYdEGR2i69qcxdyOchrSoEbdxvqpJgsSkMdgu
XbArm+qOYVVBg6w/SJXPrxRHi8zHmEoP2tMnmormcOkDh6a5rm2KQrnosR8yeNrmMmErSRzsCyzA
nSbd1tCBFn3+1M/axWiFmx6iLtOmZh21QJVoe4aRMS5CsxhWCGIbeNzTsQAEf221zLcZaTPQvS4A
7WzMqmT0m1ebygyl9nIudf6hy+qxOKeBfmiR5BKENTOQbhD6oJutiFKwDyYnYUnPDmSjbMeEU7Hj
nyQ5OU2zeU++I1wkhqULR9NWtRp9B+//wpTBWA6GfhxLfYdHmDlKeWj9YYktejtp0YWM0zv30SqN
04EYz0Nn14XXzpnsBsawb3r5vgIFruvk32T5fGukwGVoiSanqMsv8qQFg8zhbk52MrFyi7E0SSJs
IXBVow0ZuU+wc07psomtW87+pKNIcrBSsxKaaDe0oG9UcGqQQA/pRK+1sdV9mrG9D2c9tK+aDhqh
Qn9iEYb1SimznZ9GF10uXQ895leCLRaFoONEDCiy9sUKOfcqZnypBsPS6bIO263ioS/y9Hi6bDu6
tA1UTnPQ10Pdr2QOqy2ypkxhwFAU13OuX2R+VbnDCAKoTZP+apzCK5wVW8z2nl3aD0QBuKNl1Del
LJF7FNU/cnz0GCnoFxM3M9PI0wFJ44V+lYdgn3emV+lK7LKCbdVMJJbRejYlWul+cBFG/VE3YkDG
GfBQY5laucvEcd80BfowEjLmFiaKdEJe5KlEd7BQXE4E55AMRMWn6f6K3NI7vW4AB0gZrDAyhXIj
nTbJAEK8Tkn1pCDgLC/tkma+YZhPQmzaUkUV13EPoSxGFdQRZ+p2tvrsdPFzbNnHokqJUouBrRN1
wgS1GUgA9Xt787bM/Ns2FGfRTze99vl/LZ7rb8/1b6bw4sV/bnzEcLCl6GLI7vyPOOjP1iFUDabe
smOy7xCHIbygf1qTjD+EsdRh5xOxAzQJ/974sCZhJgKxRrMPoQ+z+39wBv91k2A7ArYIhAMTCu1D
x/yoadNCRRpaRMWnMHuam9M4Pr67LL/Z9sB8/LINiXdAyqbRRgDP4bCg8yXfb0Odz6DQxzd66mZj
yUnrx1Tqp5SZs1G3P8CUeuR9RV6mwxdTpHyrWrjXqxhQaFkuTMks1mCT17mFe7qRb+IuXOlN+SKl
DKZV50BFSvxti3Z3DtOz0itGQupAW2nnIMNlQL57D6eCub4RMg0CsDzNzWKQje0oVI4DuCDtTfiI
zcrydKGGrNTUh8+MQlJvVM7/QjUZC/2kk+jfO6GoRGIeUGSH1V4RestAsc9WaUnLFCkm6idtqQh1
Zil0mvGI+V0T2k1FqDinOt/3yDppTyD5Vj2GVizWQvmZIgElI2D2akShPuJQjfGOHTIqm5GNSkI/
qiAkJekMwgnK0ibDwE/H1AvK9tpiuCchQtUqkn4RpeZlt2uFStVArjom9i4W+tVghvKHoLWyrGdf
6XHeW+DaHAlGQfTcCg1sIxB+iGLTID5LiGQJNwMpqz42iGcdRLTA1Q+6UNXWan9MCas0kdvWZbUh
ndNCmOrcxUKROyfpBSNIJLyIdVtEuxxFBcst3umSftMKXa8qFL7aTPiV0PyGQv3bIQOehB7YEMpg
H4kwk+MGKUfy1CEeHhAR81vQ5czxgXAA240IjR0Ex3qhuQMCZBMhMpvsGYPGVSgUyp0wKOv9MUS6
XICeDMb4Puw5QmaIm9OehCs1vTaF6hkX1z0hvHd4SO9Nv1sVyKPt2SBvrH4yhW66bp21pDWPBV8e
qvwIEHd+gc29BIXMuNXwtGQ8lEMMo6kK8LNNsJDbN6W2hbUC6TZPwQqa1mPgi4DLpo1XEqWgVVY/
JmTfNvhhHRl4V8uPErLwxiIsNEEo3iMYl4302ywE5EJJHiIpT+I6WStCZa5L1k2I7JyzOPrzCOKu
nEHZU9DTSUKlbs+WccQfkO+iyJw9qWQah746RtwO1AXNsFqjshPK9zkermWk8FKHJl4V6nijgsWF
a+ZqFMr5TmjoyRAQrG2twXuDwh42ib8cEN0HLaKcCBm+LPT4eJntb/Bj+mX4Jtfv36T72ZuMP5sk
WjrkX0WnUej8K8oMjyYAu1tSBm790w9QhJ6OQZ3WjyQv2xkIdC4cBAXJ8bTHO3lPd35hh5O6aKt6
33LkLvUSgxL2x4WiCSSVWjUbDCjxEkXHgZAgNuGkzNfKbJBFMjsQOVS2TD0tl0VbFaBBo/RsYbJk
yCc1lzPTb6zqzAfn6a72tWcrqTasb/ThFQZ7CorfKZUOPh0b0dcxMAIYdMfTAueMQU4G1hQ/ve+S
/GroiVgFUXvWIxt7A/Fjse5pltJ5RZnvrcpiQVT40NZwmXdkD5X0xVijdkHlbxDpLGOSS0tkxlBR
16ERHuVUvk9oKWF+3w3wadf5mIB08w2wiK1LeqK5V1oM+74eWd/wnKsuAKAmYugxZDeJkg2rniw7
DfK6q82VjTlxxngQRfVxtpOTpmLccppLpSKTMW2wa2RMDuaBKHXF2qoABZaBZtbbdOpvTam8ydSM
WhdwpNfUXbichjZzWHO63SCbxVOutwQaRtIPglWIeOkAr/F25GOXpn4utJSzwZRYPZ6HsF/ntPHW
LP3hvV/xDmqX3uSky4CelZ1dB1ZsR3QMMfEGwEwMvYAykRnqhXVjVAWtID3GupOB1/Em3ScZPalu
TB9ZWG7MD7Ofo9rpCOkwOszv1oC7HzfIupT7fA2SpnAZMeFI7Y3uoWb6vhrtKZrdlNk9u1LYbnT6
bItkgD5mZ7U3ZcWj2ZOeONBXsiaw3cVZnqxdUk23chgv+wjBVlGGt12q3iCbcvbjNPbbQiLBsfDT
idNMPCxKWX5EL6V5+KKqh84sFa8sgPAyZk+urKiD8+JrDyppbteAE8aV3SGejBlrfXFKZKT5/lT6
hlcDYcER2gJTgQ36181ZzTK0g0Gcn1oR+jzOW4ND1FA3q8+rAPX378PRlwOdxmP/sQhorTlLGDae
sjQ9kolwy6p0YWfZE8slvt3J4QeY0k0/lqvUTjaNGsLvUxegYvasVAeDIJzYSS6h7V+ZlbzUUG50
IKrwJL4WHZb8iUdAn+2TKQeUa3/Vdb8pYH77ybGAW4quGxqSyV+vkJF1RQQbIT8NgKqC6Ua4nMPi
5/D9+/h/gtfiN2/ygV+GptyxfloksK4jsrA+/A74f8opS7r+VAYQqIlN2GK80hGCVewbfQ8WSuof
JARyl7nDPejI28GGDVNM5BL5mnw5xxnnqLm77ELNuc7Zlbqi50iJHZEMVrZyGPwCan2KpGjHAZ9r
rvLcmBlOhgk+0pWhpM9Jm5LQQ57kTLS93yjmMkyjZJm02ncJ6TJwRqQ0WmXCOnQUt6iA+4Y16aVB
SWkTmltYhK+Rbj1zsqJViI5ttNLjNFuMEa1J2sjKEB+h+GWLeQQHFij0i0OHRosSBXd+p2Q31YDh
zlGCg5GVHCLNErSEMiDDYYtTSOyhK5MsS1k9g6FDjoTEhvU+Pfjyc6evOsPasi4+2hI6PGtQNhPs
kVSrQ2jKqP1KIiA0/GWzTukx8phB7WGmg2FtU7cIMzJl3GFDf04iNfxOz2Itm7RcUa0d1QK1itZU
q0iDMkUcw1VmmunJgVerIP3aV1Zz/Pyeo5f/8bnkfhDcGG4HMSITooL3RTPcyiLn/7UnOmDPmtPQ
Qy779GRKTFRYT5+CRrBAmtBVzNGzozd0W3rkqkC6IqpyA43xSL7TYpjVo1HYD+CgQpAeRrXqOlnf
ZobaAVrDRUnyrb2UCz3bMD0uvUGJKo8GNfUIC5GMThLcVXVNUvboKmGDa3CgNY2JnmjSamVm8/e6
MJ8d1QBsqaA6qzP11lQnamdMwVqreChlmckbUkI/2XyAP74dfPXFtMZkUQ4sA066MfPxxndgeaAD
qgrt2gQSPI8AiSf1Gt3SMYnD6yoyrjLLWZtT+2Anib6gbpSXZtVRC5L3Tv+ud22Bq9ZI9pVpHHnQ
tp8l7gmYNNqjokkPSkhkWtXO2hKZ0KqfJUK2xmKp6PVahnjq5D2QTYYsYY+ykq6ybQ97Cy7boPQN
2zxtnbS90YSe3h63DYQCbZC/V+ADcstcwnljhpUj00vOZBEdrNxcDYXuhVaElDa3XNWJLpMSt+1k
z8uCMF0zJUOppKApzIBzCQ9jLzmXQ9X+IHvJhzxNI78DT9V2iWsSTaai51AU82A22jrSoF7bSpAt
CXPHdEiFmnToCsCMJcpwXxQt+YnRBYJFbL/FSk2kfcYuHg7BxlbSRxyOqwqOq7PVaegp7JqpP6xa
tnfyo0qvA6fipYm0jgd7P8eILRzMGIOCAbghEIshg7KKGYvC6rqAyroJ8hYiTXXIbYOqF9nhOS2H
cjOl1k4Phn35Fvcs6OPAuRmJyhCQS9pfDaeE1HRjjXTzjpaJP1yYxtJKSBizT9m4MqdVwZDL6u9p
0jBXkI8Mgevl6OuHOBwaZMu+v+/U3nIb0JCuBT98PfRws6gbNkTCNt5kYvzrqUKsAi6bhami92vl
i63tiydV+zDCVkNnAnGedHRR6Sk2xwz1xtgLZ805qY+AZ3/6Hf7rVvGraP7nTvFuZRDy/Pcrgxqi
3ckzVoaieCULrB+vCNrLgwcGgp8vQqK3/mttwBoE0lNXsQ5YDJfFzviufzw05HHFcj+SMzaR7xyN
SHF9VSADi21YSNxzY79HbQefA/bn0a5A3iDGRq0Tg2sf+LsuJusfcLAux1zDEq91d+jyzoVsXaeU
b5x63LZRr0fcn17eBisYgU95rN9LYVpeBR2eZoMAkHVmdMJ0vKCwWE4wCnHI++u81ax7LJnX5Uyy
r2bsOg1ynqYiNpq2RumchyTY12zblkR+jJrzMEnIHW13LJX7rKyXUepv4WEyFYXg2xrZ8yxPhpsO
wWNFCve9GviImBot+OKq/tpv+fnzvb+owmP47qImJib5GsHkyR6fwvnbZP808v3X2+Orv/9h45Cl
lBo5SCbCoa5JAMSjdfvFbfH5XWF+uP8wMSB4VIPpZKgXkY4KtF3K4fRzlPZfv8V/Oi3FrWcjp4MJ
IVQqv16l0Wpwoep8C0d11fZ7O2TUJLfRaH3xawgQ7rt7/K39pWHAU9hqsehRmf76RlMcgVufS/VE
GfOdTc27SVe+BwdwEbn3i3xxvzXd/vDtKnLDu3H5jG32G090s9G2n19VVXhH/x5A/cdj/fZB390X
Th9hEQlYRtpV78kucQfX3Tq7ROu6FNzslbLmOq8UF3DFIlw6DNqX+in//vmnMH73Kd7fnWLxefcp
Ur9JbbXmuj+MW3VpLdqVc2EtGFktQm99b7gH08vWzglfzCa/NjY3CAjX44Z1bzGvC5ioHq0zz/Gk
Q7fJ1805pHG/CLy7YtGdZHdaG1tnW+yHTX2bra4//+gfp11vFfT7j/6hgpbUJkpLKeK+XABuWDWv
5aq8UTyAl57vhV60zFfZrlhffD8su63hcmCPd4zTd/EJoL7rL9Hfv/ju3eefSv21+fkfj/tHfHXE
mLm2TD5VuHUWoTtv0Brf5IxWmLEvID0saheJy9o+VRv1iUba8vP3F7fvx7vq/XP0YbVhqZGmpoT9
Is/F0hqG/Swlp76Tiy82JbGqfPY+H1YdG2Rp38/pdKKmXvTDd3ncDOa3SVtWQPqkcvX5t/r9GvfX
6vDxMClhmteMKu7Qeyec/K7K4PL/7w0+nPm0kShXM+MAlRh7NaYP6Hw1Df7ih3kTxr170KSstHNr
4kEryhPSy1Wpki1mf/GrfHWdPixujZI2cW/F7WkUv8qcErMTu59fqa++x4cbrCN0pENhMZ2GfnQj
80QSocsM+PM3+eLusj6sSqYfSBPNOXaD0XR1J18maQuysnOtqXHjQT31oOk/f8vffi/jTTqJCdER
45f3C6GNlNEvo7Y76dmPOl4lWkiTb/35e/z253n3Hh8empRwAakK9fFE2Bv9+8ss+6Kr8NUbfFgS
5yQbtbio+pPMog02JNHSLy7T2/742YMvNpR393EYMfTxU+5jzgYLxOO7fpMcOSK4u9oNlyAMFtlP
xe9/LQ0EC+zTtUZ863dvic9aU1o1ZI96oDGcs6oeA957MTwD+dn2iwtyLfgfC2OZubAuL6XFVbsU
u/rFY3Wh7Ti1k6WynNrFJnfD9Vcf77cb+fsl9+OdE9WDjN2qPSlnsZFLC8B3+jZX3EWy1r37fLEj
K2L/A+ITRsvbaY+Y6ovVSxXL02c/yoffvZcaM6yciVrC673Zw9aimgtnn3pXzsk8aOvOe1RX/iKn
Y7tCCbnGEPfFCv3VR7A+nIqksZP0fCjbE3F9i9Gjsxm/GCvyJPbd67gpl9nBWktr6UfwqLn4BM/E
971+/nS9Hbw+uQrWh/sk6bVMb3JuzXo1rqqFsohEVbdN3Jt+O263SAcX84mw4Ht5VXjZqlxbF/h2
vW4Zbon1fEq/WCnfDmb/8Xn+ftyFUfv9fWtLDrOhnCWlWuprc22m3rgCTHaI9srie7AlSMi1t+WG
pt5hdK3bpU11kC/bdbK6jjxRJPxPcfDv6F7ngfirxes9M6h/zXFcTKfn7PX//m8cP/yLi3fiPwVr
4pV/zu3f9PFA+fDOM6AH1PeLYE1TLIB6IIIoQyxe9efc3iLqmHhh+rmGkKuJ1etPwZr5ByowrPWW
8OdwIv5HgjU6aL885fwl2KR4jggRAhYjPsqv95PjwxkObLs852iJoYWaNXPZVAUbn99HtUbaQFwr
sGNqhloJuPHZaLeVofzoCxkFWJYNu0GYfrOQzn8rd5ugCJY0Uphl1ki8ipzmkwjJiq342+DXhP5i
1UE0hYc8JTBhaYFoo7SbnAsm67dGbdcIsbSJ1J75QGFzi+wXHHx078faTZZF+dlSfMktRmVYdIQ0
LGUYcrssZeCjE2yXOM6lndClQan5qkh1twpI3LnJK2eDoHAfl+O0ksd8CSH4qlLw2hUlOGKpOvXC
Yq9Xa0NuyPQwSICHGk02ASqtqTg2hkWkR6utE9kJCcRovk9IqtG/Bf3SIkTV1SKf/IPqWncmzNlo
TR29XjR1HW0xWj4pSmi5wzhQYIiUuZmndGRqRgjYJiwixRvpunlpzZGHDroPAXtjSAqXpov6fRrN
BOoZwYk0851jA7GPU+gmrfQSxylq2IqReVBE62EeIrfyGXdKPX1NJSQaoiOHp0uBmgQ5nedWYeYl
WF+tdoUE/KpoXlS7+GHx57qJSxZVJB6ESvMcdrnuNr7FvM9qvbjQVFpuMQIEU10AXclQDemwC6Zm
YxfOFWac4qLKlGM1xuNSpsHODFdETnAPr4Gm3uh07t2kdzxbMm7LfHJ2VR+j/6dtb1b+SRYaLNtP
Vn6U7puivRh8BGcpMWgDhm4wIp5iRPeO3uhMKQl/8pss9Jy0Ws0RrqVqekA0vtLz/kkfpnKbaf1V
39CxVubhlXceyftLX3urUs55gcm5UibUFCQj+El4dOCxHHqt/qbUPofUWlGRTKNVDKXMWlYWjJXl
lDcEucyMAtE2oi0uT0EvWbtSKB/HNxGk9SaI1EqourAzX5CFDbve0MhKtlZ1OW4E02QytMHT/PrR
0YfQZayPdLHkLWg0I3/f1AMFaGdwie3AX0tZON9qZaEsdBVziFZa13Zl7ltlek3DKvHAYF2lfhjs
zblfzhkJxCFWCgcgOV2hWXTzX+K5dPAZWC+jheNZs+cGkI/TeIXSXDKo5hLXR6zDtgckrtwVVu1C
kJAWVQKPEjotd7jdLUgq4BVjjw93CCZatf6PtPQvGLh2BCC0Mjr5rnDNjihPPLr7Ss3l5cy0YxN0
aASQCFh+vhtiFccx4o+YjENhnW8BZUjIZYbaeJVlP7kpZL1ERmEDpVPSECHM26L87+4kWCuf7E7R
a/1bRRmv+mtnEmFMisbUCD/qT3vWX4oy5Q82BpxbtLJ0FT7k3zsT8Ba2LPIA8LAI1jV/8M+diZwm
R3BYxHQW7BiQqn+gKEO59nFnQkxGv9hiY0Ja5nxsic9YqkO1iIgVsBkC+tkMWFZ5KoIXINOzgWmj
JoI7Elnc0eCoh6Hk32sSf0wCuzsC0VCRXKUEeRPq7hIkOq6bJHzIa2MNOvtKy+1jKTLAG+tRMXX0
K4SDz4SEt4bVgDFFcKkGHVk9+U0sEsU7R07dqlJaT47KR1DPnmmoe4PQx4w48jlkxSGeXNUlsLYE
lodGvuSYbLnJHG0aROGLmHBzJbA2g0g7ZzIkFMOPMRkfM3HoDrHoqPWyRUJQujTk91Xd3SG0gNFI
lHrtSKuZaPXIQVLLN1uXTty5ECwY2bXmAuM8wxWi2VvMQOC8beEzX1uEt9dNT+oOce7VoI6EZE/W
du7Ieh98fR/LKfzBQdqQ38J+QTcZPBXoVJ2W3VtkvHk1lJBp2qy+TQmVT0W6vFnZu4C4eTkz9mQ7
YHCVx2MgEumHAOmaQUh920sx4W7dXie+Ht8roE0C7SflBWrrU+B3t5NtDIx+iR6Y7QGhGcPQtNJA
zOivmsVeADXv9g0FNsh6jzfOX7UNlnWiuUx2+wmKwrRmqLYsyYzoGq5ZEKQ6yMEgZjSbxGAATu3Y
El/oW3Gxbg002NBLI4aBeim328K2g2VrOROikBboZlXINfqZtyTh5i1VOO2rYRu3htp65lvu8PiW
QUwIASPzVA9xO6MKLkXuUlexOxBhnId1hdSCpVAjzElgFvmvAQop0ccowXTXSaofogijzxR7DF5m
7CNYSwIDmcZckkilWScpVG23VUv+hkwWkBQ+pAQv5yKBuR/7a3YKEo5FOrNeGS8xcc3qNL7OLarc
niDnwNS5FYh2ZtQyERSt7muR+kzikbbEFUyyl0iEdpKNHtaPdmK0K03S06VBfPTU4vEtdejApjW8
ILpGOJwOI3dOSw6GSKCWY7Ko00A6BeRpeDkh1Tm2K53caoP8ahWsLPXa3szzdVyUl70GxCIkV6jU
mfiZZGCD0V1giKbGks17X9i2Df7FZsgYzNVlRI72pEvNYWgec8PAJDhJxR663Bx5/KkRkEPiSSjj
2UBwxUkhsqJ6JBNs4BcHFHzVTUWwTcJwP5v5CacSnKISNAl+4RTzlLzC7Vl//3dfeXPp6PTePtlX
ivQ5/41FR7zqr30FRzAiIPL4kLl82FfUP7h3aXvBEiORURyG/jzx2JAMHEUgBzmEYDVmy/lzX7H/
IPkdXBi8AiAI/1CpDLL9474CSIFNCoOQSpoNwMBfTzw6BKRa79TpbLdBfWHFIHcipbQeilRXd9OQ
JI+T0loru+3lIzWlT8+zD6lC+/nOcob2OpSLFAa2Eu1Z3vylJbU1FksAIXYln9I0dI69pvgHw4CY
gsud1/c4mbxuJidPLigJYUftRpXkqqZFF4YiJcGYJ/Ps5IPvyRPU2LpsxqcsDIMd9pAZgWYbe9RX
xJxyUgOiPd05auWGIujFz6wdyHGbrBlp2OdghpZ1MTA8bh2fvEH5jF+IwUkEdcYxK5KzIwMToRAM
OFrLGCieWwRScfxaTsqgX7Y5iNd5DoTZ9jEcAx+3be9GSbmLgbi4Y5wnW3V2SLtj974IlOBBTqZd
1Gn1Si/zS6NAVhXJrbRuzWAm/qrTdmEoW8tUS/cKspMt3hjHw/ivr5M015e9qvqoc9inIiNAVZyV
GG+K/nKuYwJF04bELYncNckAD5DgnFQD5xRrqFb6iasjdUT/REOpeVmkKOcGqbU3WUO5rcJm16nx
E1v9uMjIShUOnniJxoiw9WpuXYgR4VIalNpLpURe+aayiXVpMUl14I5Gv87axBdOxPK5L4L4CCTm
FbM0Pkk4S5zHqJ0H4Dq4ga5Nzbok5VFjjj2u1T69U99S5nSHqDpO0ue+Ui4K1b6Tg8ZC9xRtSwmc
vdqSl10hyMJ+yrIGrQbTYUD6oVG6Vp7tG015NYyiQ740XEMAizmCE0mZyJBuskw+W4GzybNi3WvG
IR6dI7j8dahgzZnTgGh737xgp1nNQXTO5qhdmC1pjTrSs9mYjgbm3TKRbqnxiFEa9T1bFP+n858y
tf6mDaCKndD+PlqI5o3ptnLYq0fiHNEjNkgzcqTLpyrhkOeqmgmjzBasZs2A4A2h6eBADuOpIKX9
oJCm0SHASYtd6fiaZ5E0fghMNdr+uxj/XIxp+362GHNmff5N+4lX/bUYq6RTiCqaIp98aAGO/avI
11hyNfpSUF71NwjDu8WYI4FOoARyRQKh3ttGWIyp7vlb1KMEW5j/KHEa6MMvi7HwM2JncXTVljlS
2LhHfl2Mk7xEOC7H8ll9u4EMcS8Bkuq+13G37HXCpOTMTzaS3+Y45Jw7v+2J4wMn5hmG9a3N0msL
mPICc4rXta2MFzn6ht572/TVIZHIna4NoijAHZGI17dMYJSnwRqDdaMOzT6rqm3VY3Oeo7PWStuM
tRt/70KpG1xQfly5/TTjFWzsTR4R4kj6lqW1XjuYhVtI8wV+eF8ofK9UrYWZYEmUQTkoB0nhUZFu
pBB0vQ93bQEqDw67uU/jhzSanoYA13RsxFdNjSClrhqXpIJ9Jlf0yeZ8PRWFepRL/Rziml/ICugb
7JV93u3txn8pnWEfqeaTCuvtUh+xbAe5DwurRQupSo8crJeUcMozjatpMSS2Nzf1XaTKL4GFOoy1
sgI2mN6OlvTSCVpMkTqbJLGPUxqES4Xv4MvJMZrL5yZG7Nz7SbQcOAW4oVqRF2H4NK9wqNd2dsve
eEYy9wQknoOHpR5Gu1q3egKSAE43mkBlZRMMSv1/TlR0l8Ywb7pBYYQ/4/EwnVU3GMcBWJXc2vAN
7PgSNLnu9vl4sJuZatBG/+OXD1FIUiYhZxTrTnJXNRNoxqR9MOZhP7DCQK/PfhR2fVQVLSBpkV5Z
SJWetya2gg65W6tuGp/is6mCGzWtt3IJ9dG2yJcczK5cAul9yQPrOvCndZcMI1jHbDcV6pvJ85Us
JFFW4mpt7/m3TV7QFNR7214WKsaSMG4v8iZOD86Y3ZiHQkn+H3vntdvGtqXrV1k492VUDhengWaW
RCpZsmzfFCiJrpxzPf35poKXbdHuvTYFNA+w2Te9l+0iOTnTGOMf3w+uzKLJnsvNzNdcf2Y11Tdi
xFVolUuTU2daN6W34C9ulKaY5xnSdzmCq0a95aPSlktcjr7og7J0PDbl3DbOaJZ0pnWGDDBNk6sm
9IcFaIWFXlOK5XCeDz5yfx1eJ8FmSVAbI3JOhOxo0Jaql51Fhr6IHXohIy4ketSdhj6SKb+kpAHl
h7bHs5qkLrSJwBoeGnxy73wq4wCHHQxIzCy1rtWcNjIPUnwiXclEzdfIMrnDK30AcUReRBJgsUZ1
v0Vev3MNR0bZHE9TGfSZlfafKrO8r6OmmORZdsW5tZT86Eoh8WrbGJkjX5/lPeRjzWpn+JuXCxtV
GnpcnS+H+4hFYkrrwxXaO33uu7gPOrE1TsO2IvrE0bIGc6KZw7Y3sd7o+6+4YM5lZ7jlh0YbFkon
QyCt0wIiWiSdpPQ8mfgwe2FMv4i7CmnmiuwUcwEbuqo+4rBc3ylFiRsEwlMV+WCb2IKfiKw0KODH
Raow91129NbCleQH+VTjVT70zYK+12mbNCeBBHM1Si0U/tXMD5zPSYj2sSp93ChwQse5wFn0iQlR
IUpXDjdGrXYeKnpQ5ZpOht4CsMIFCUbFBt3mCVZUOR0Jcnmmdh2/LS1NUrNqqvKhKdsLMpmzKtRv
5MDDc2Eo12NkmfReYegZsQplbEWKXnEWSiR/NBp3R0MGs7PFXw/0M/iTdkVGAuhkQWOxlly68gj7
BthBGJCUt7GS9/Vm01npWS9RIU3ASuqejRi6mdAouyJNTHZcXjpWcxmY7Z2s5ieujuKy5b4XhTH7
X59KKKazaw2V/TQYywtdJpL3wpXARuRBe+6a400hcgRqfeWqzWlZABgsSL70BOjjqC5Ms5xrknKS
ZVU7q+CtsgtrC8eoz3AqXNgpKQKH1GGRy/fIjmjlUZuvGrSWKZaP2gktdpeKQIZ43hW4yrVjY6Q8
jjBIzbE7lc1oamVkZGkaIo8jBQIrYzRLECiXWiwtohhiqGN/09QR04QcSApmfqUtLaBQpdMOUtlQ
55e1Zd/2AZ1TiQEHpk8MZ96Havw50tyBvrr2W1g1eAXJQBVT0grZ2ncqYlf8c5pRnak0DRse/R+N
kp/7PSXGcLyNFBWZfRt9YgeeV6lxVUouHYKy80Uyy7u+6M+6xM8nVZMAHsxJGij+mQquw+8hYNJo
rNc127g+nLgFeWG6i4tBBwZcRZ/aWOpIIUupspDGupvavT2P5eBENbhh5l0yzjAbf9TRWM6GFtxm
VSpbZxwvlJIePa4L3sxDttuXYwgkpvhm1dxJnZpafWCxXQ49NuZZcJeF6iWI5Wv6ozvgsFgm+9UD
+UYKRM6pJQ0XlQmvDHTptKSJiS7l9LYfpE95n93EAbmILtVmeQyIxwal0EYw1mjKoCGbe37chM1V
CR1zblDNWOmpzPUZe95+miha6/8PKgFVxIJ/V1upjlkIBy0MibDxwgHV+qU6Buhd0Qfg5BfKx2Ty
2Vi0l8WUFqGps725rjbYk8yzab0K1saSHsdVtvBPDcg7G/9Z4/GfLLbgV/zhgltvSS/FIPX2XHL5
l98vufIHrrEWuj3VfHFH+H7JxV1XlFZ129AEH/GHGqu4ydIkAzsRFCxkEP7oNeMAFIRbMxki4Y1k
qeY/qrGCY/x1FtkyfHSEqMwWQn1ZaFF+0JpgCKNFZR9nFw13tnGD6YERniu6HKrzmivsJWdLW09x
3To3QJvC7HzQMbGdl2py0yox8aaSrAu1/AIU4TSu0usgCWa1pGKHFbob2zA2rJxomlrd0tNab1ZW
0dqXu7sxTHeQvPpJ1qoVZtxmdmV4OEImQDV8mlEaejywhqdrMq7DTY2yuacmPSu1NlXuVayZ+rbz
4gWdxbZyQlRQBqf4StXeMlIkKk1y60CxTXItRIEoyRxUoqHNCqxkWVh4d8e06d1obk0h0U26sKFP
GWvcdRkG1Zewc9NZg7ZCXbRNG45cisIzq4LCPUV5XHX47RrSzHmiZnGYAistnmhayRNZi+TkfQOg
ctLF6Z0l8Fs1nr/2E5ALMlfugqS0BKwrtMF2kf/YkF8ppmpV6xPufvNidJG/QvvK3PZWhf4lleNJ
DQ2stZJp2nYnlOhm2KWv+864cFpzmNhwxMpYvR6qYAtj9gycmAT2vNnQcgAKCAaZLW5hpaNct410
YkIpg6JxbgtjLK2cJFK3UoKa+2aywv9u7Tm0sEE7a7LyXoZ+5gB0UqGhRQBpfehoruJdmD4NI0Wc
f4zhp1lpMItzedkZ1XVZ2/T7kaKGt5Zw3svw1xy7orURIBvgJBW3h2+pgms9xDYNclsnCG459K+s
2riQ3Zyo/oLNOjdTe5ZDfqPP63zMkgsbIhwl6PMUnEwFKW7ssk0LOQ469Tm/5TQPu4UDWS50s/MK
0tyoGQuCrlMimSUduF9VI1xQkdjkWn3vZbTNip/es5wbvVQAwStLEOlr2mBqUU2BSefPhiI8L00V
HB8JpVG6NaDixeSa6dnNSFEkJxUNIshCYZMXO2rAxAbxHWHMbSb71zW8PTc31rgzLnBDP5fDNsaV
RFl3EPpw5KynDsy+CHafC8MPPQXkeQBwsP2w7D3rYP1lFTIE3N12paXS/9BflwIL6HqtcQXVYxmY
HchAVweOqSYXZUx7D3cgyIKBmuFFQQoKnUJfXMimse4UplTj6Ccx5edpYXakWCrncfAQzfYJBVON
G6R31Re1OevJ4bf49820ovhahwPTTzMBDrtLorlhIWnu17GMN53T+ws7aW5gf3IH0oh69BquWDbC
gSNwnqBMsqaSD7ogb6UU4JiycXX9Wi8JO8HC1JOw5xfHhPgyzKVlpSfIvcMM3H4kYXlihQsuh5s6
bJaRSwKfq7FMvDRndvBrqWQInaa6LIDWTFO9OlM1InN/qACyBBd0da21QlpCjp4nZnGeq2ow6Yrk
IdcTfoxRglBSdbPQHRis2rwyYvskq0Nthh0jVJ7IjSbuCB5Roo6VyVT1Vd8A9BPka1qoG4gxmOqp
2efa0unWUxPKQMl43gj0XRQ8mhqRoGSrKzeno7YPfHxhwvbaTNVP2EyeSpzAttTEC3iLOdKRboOa
ihqJzg6ACWA+dfK0mamF20y6gO6zsBnWGWKQiakFF1FU3LZmAzTQ728802C+Q4hIJbCPWH25MUOD
TgXoQBnecpFOp04gYLCG1K1HmpHPfIM75X+SW8/JLY7JP5z97By7cs+5z7/6fu5zuCu6Qmro+Wzn
dvbDue+QbaL9Q7QlqyLv9FppoEwNOkNAlilAPBG/vp/79gfKC6YsAxFVxI3iHyW3yGH9eu7T70Tn
Pak01C5cI3+5PbZqqtaF5AwXnFrVgqaadF7pchUhoQUMSgU17I1J0RoSiSM3zTdd13yktLo07AjU
AP4Pk8CXjXWf9gV0OxUWRaWf6vjQTuNBqxaqUqPEpC931bdFfqXqYBjgTNClN3jGkvTNZ2eENiQZ
8kNa6EAG/PEqCSBquB2WoBKdoBPNw3/MjttpmrUyViFWNA2yjmK2TUK7QQ0zTRP1KtKk+KRNoB4l
QL3k0jdWktX3E0NzqxOFhkU2aDM1pkEeXeuKveui4iNgvHWegDksZVPCGEXqTz0HsP9YO/mF3JC/
UtVrh4h94pIK4drUzXQVrmOfxlhDOBtZZ2g0NZ70XnslR+OnpMlvqZOfBX71FdzSMswTPuzYQfm3
w7VuALMX+aQxtx9HBwTDMETF1Fbbs8HKsilAr2KK10ICj6tfOOAqI18DlGlnJK0rijjFJlXzzyF+
JRNLy10sqJNy3hnD/Rio55TH+R/gOAPfi6mGaoV9WWk29XKpEeGlz/u5Ms2jBbQsW8H+NM/gEPQL
2emWqlyfNSIKL8fdaNtELlZ7lvZGOcUR155UFZtk2lT5VE9oCi9tmh4dj924U/W7vIk3jUTlttDz
edurMCSHnUunKASceqq6noBOf2ssL5tZEUasWN0g4pPreGPH6qVbDubEotN9lYf5lV+OW7uo3IkC
e5/iUcaVRq9wUjWzk1atP4VhdtXIiUw5giKMHVM+KBZGnLDta+myUUxMvLw7bHEx20iqM6/Ei6KV
EvggJtPVrlBIAS2oZ9Yw4koQp8RGCS0/mWiBCwrnE8ZPGHx4BWxK88ztbKrpGCjMqNBvKXrhM9hm
W6vXymnVS8Gsktxx5dZkvbo6ol3b07lrqg1OuMqYz3rdoym19j5arsWcQqO2UpNkU1OAmDapOMT7
USLtK9pFdf2MqPfKVPwvKXr8Sdon9hy/yXViqivc1tnbPeeiT6uKWhD+E5bPbdeDqQVOoSZpCeqS
7r6LDMv0MqNkRonwgSj0Lky0+3yAzqM3/Ywu2h2bFIRcUjEwL8/bzpDnoY2e0a3Sdu0M1aWWa4+h
KIlXub/S4uG+C53zXk0/Bmkckj4Yv8QFKeyKE4wkWBguco/ySe0CpMkKKGZYvZNL2oUjpJ9BdZdj
g/EAsC8T2rZI7HjBx8z3OhZ1EM+lPLpLu+xOKX2cDFt9W8rh1xSPCn5+GnvzDN+eIMMAPrM/haV0
Bt3kFONIGY2FMTf9/NTNDAixWYMcEvej0JG+QFJfoqlYZyUOSZ1VoW/2rM/1yFUh8jRn1ea4m1eJ
k6w6dKQ0mDv6hRpl2GEWxhg8/udYfDoWDUogvz8Wb5osbpJ09/ZgFP/u9WAEFsbRp1Bm5/SxnzzJ
vx+MwMKAzJgWMbGJpyCx6OvBaH/QRT1IVtQnwy5B3/g7IKaHEoCmw4npOP9Q2mX+Ijp+qvpwxmqE
QY6ui2P454BYaQ1SyYiHL0bDP0VKQEI94yoXpbMxDbNFa5j6JHTjjZ7H0QIHhJXcKMsgry98gisW
ywzG7FWK9XKjKaddlW+jRv9C1yEs/nrTjwoBlr4afSEIkrJh6lveF0CRV/R6R3MzSbbUtWgB8sEj
uXGTT0elizk0Y3USR3Az7KRO7zLNP2tYHOuUzKjti7R+5siTkQJJ6UT3pmQsNFfB1yi7wIqA5JkT
fqbHH+FOig2KAaJYbZBr0UgfXDRm9mhmWUi04NcgjS0T56dIOTEGe13X8Cbc5EZDzEMGelPpjshk
3uCilKH19ZaZ2ZyZxoiWujUvjMw6jWussx3fuNUgCOFz+LXzzUXVli2UcYkGFse+RGrDPR22dxed
hx0bCT39KEyRCOPJgNCylO6chNtCxlYqG+Gao6GfCB0SAqH6BGpgQbZ3VBa+6SQLKXS+9lZyabTN
Wm/s7DwvrhA9LRIqQ4OlXICEWTRaj4kZadsQnKZG0lBT/GkQS59b3b0zdXlhNtCZHDZFNr7kPhiQ
1pEyoKMD/LPSh+dDy9AVUXMl9y5px8hMPhX6CSJjuwaBRc1dK6z23JNBrVMSogJvdtOhaT/6KPD4
/4NFQG57Vhfpp4aP4SJhmEYBbAa9y5ZGIDM2NqwReTgrWn6HMJRANMh2PMsGm0aaQbsObFpKO/cR
8ib1QtO80TPzWkIiOZVqc+0kmJs3BkAUP8eaCj+ja4lSmBHWOghTSm99Ed7YbvqAVHGWuskVevjH
MC0/eQ6ZbsB93dTjS61yV+kQcbl0ZWS9NyUxtdB0Ib62KCRmAR18QTMb2UGNMaI0QxuUqsVzkFQD
XeTNjlxPPtNNan6ylX/OsmTuUEhZ+wajXcRVMEW+i3irVwBCVojtJaJeIBgDVQ/FyTdI1W+LMbp2
88aekn7CRCugVhn0tg1UFL+5uMQoGIYmblYRFY3qc2Baa1C012kL68kKsLSQlHFcJmlI2tYtyQcM
KTNTU7/mafHRbvnhjc6bDWQR5MZ9dFtJmWmtAYfdvm46d9VpCO0V1z2xIgn0A5N+Qh/EoucOOi1x
b0PfEVUkoiGGhgWEKmkctp42VlPIl940ZkQntVSe1i14jggLv4GkiyIiUvx2l3C5k/kQXZO5UqgU
TVpv3ErRsK1b88br25soVmZNb1/CzQNn6ZHR6FRwelogfYLklML4tOb+WC/8oTVBnRXwlRRkGlRJ
oVxIw5bfdTjlxjTPcsQQ2KNqM1XSd2pfbWJZ2vRync4ho6dzrjNbovTVkNfGFBfBgZ+LY3/oLAt4
X9YINNrHxAKoU1S1snQRtQgpBZ+njdNZ1zAD+e/f1Bgl32AIkCAgLm5k0nXRyLsqYUroZhKg3LZu
87I4r2K4uhDAdnmOMkTqFlXYmxNJjfV52lkUURQ84+SxXLsK0pMU3h/uo/ZZkfKlsVprp02dftGT
GLMjiT3YC2wHkjouHvHgrVzd7FeZMmwLE8Cuw9aoR8GiAA1OkKxvxtq/qGItmRD/IL4JtI9dmHQ0
U9AVUMlLpFY3OQw8OEQfFa/AQ23kSiRn1tZDi5ObPilFPZh1AZJHQ25uJXNUpshri3kMtQxGLpM6
qtwvrTl+Kevimn5+b+XFEjdapREeBODr6uZjbivJrIz4fUHezGwNXlqH/nziJeV9WCIvZJfPfOeC
jW7pFX4Cda66Ad/+KVLru7KAXB9HzZ3ucHNV1E6ZybKKmpC+11lg+8Z08IEBZR6e0PD3T8oq/Jia
2nLMyVK5kfKli7C5dbgwG7ETTm2HKqGW0ytXqp9a86qrTkf3cxec6b52lYZknAzzU4hFXaAl/DRp
vTTT7FzN0dPksVKt5NDcKWz0c6V3LtvAZGnr1ColA78JyxwDyLAYDAZAVzKnW1d5TOpKXVl9zPYb
DPNxUD5iQHDmA6mcQHy9s2qI6XJRnxb1uchl1gYcY4/KGLRjsoqZEyzVooRKWwZ3yjAu47gM16nE
9j9K5cYZLGnRDk200Oo+nIyKpnF/tfm13GTe5d4pdkbStDJtIYHOPAhcQ8NtHOe2nR0k/qZL64mO
AVBiWHdhlnTLklpRAHJvHM4VX4aIUPE7EzOYIO0JFAJXdPdUp249UnWhiehCHvFvc8ndnrQkKinr
2jagpgFbyb5X2Y/tYs7hEWL3A/vDUDZk10/YjU5Nl6lj6+qkBGGEcZyufQqsnB2ihVqjV9LKL/Rz
VMreKvXlnTbIO3fw7jlyBIaqXw2yNEtsLM2Rh2k1nxFJVjaL+hgfnoi+UM8nsgupOLqUxjEl+gzU
s10iHQznHdqyAsQ1QuCRcqgk1AbmmSdSuPe1fKro7nXkWitJouk4KK0LLe8JOJtEmUaxfMvwc4or
8S7vw9NW9axFTiq7rMxlaBOjGJqVLtJeJsIt5ZySOQVbpeg+p3VfIvj7aOjDzIyN28QpLsmvov0a
o5NONxdQ6S7J5APopGSu1PmNlekPbK6XNZKtaewzBQKzuKZtasEGpyw7nejDUarz1Ce7Z41oH0y0
gk6YXGAGh8bY9fFDcKJhXvbI0Nn345lvjj66/Gqe9LgigOirCDLU7ViRvIi7Dk8hJNeYS51zyf1c
lvkatpc1zRJproCGAgX0haNl0XbqNZXgM1buiuqMTEuYL9xCgWQH5EUVjtpIWQdufebG2R0+a587
N+KMSK27Su03WU/HURc4Enhp0rSO4X1KBiyXFLIYY3Ba6uWm97wF4CisLgP7yjdyzmjJvG3ydjP2
/kROg/tYN06LCPBZpQ3rtrebFbJLzDp7c5Modjo1EzZCCf2EEUB1NvRVlNGDII9nTalpwLLJlppg
uMMuSS41Kuszr7ZBx3SlOmt9qifYreRT6DbIYpIUnB/UVECb5arCQpScSXhvddxh7L65tHJYTU7Z
Zktavat1UoA8LLQOMRHZA6JrhJSutHSeSizqU7mFdCulF7OWTk1RjTH97MR5KtDET8Wa8alw859w
7Dkc+6Me+ktzv0eAZ/yshpbp/KfLEwizyET+lKMkBpKBJhJ1PWUbv4dizgdTc1DtidLzL37vNlZM
Nl07/BHVRKKnf9JlgyHT2xwlcmtT1y1QcTAcf1FDx3VZy33Wyxc1+UJcR42lSbrvTAXhOnFsJUfS
S4IRrQepigj8bEbHIrwl/bTMjJRKPanJQHeMdSnSlfpT4rIzly2ZzNju8005SlQnZOwZ7QcF/Dui
mg79MR46o9mdOK69YE+WZ6DJl00FLz11BhxnO/22S8uVHvjpTeF52Ovk+YMJRywjCVgqusiVacHE
9IqHeHCiWVbp2KV23arP+37q4aGSXsmavVRCXb+UNNJNZufM6052p0knQeZRBIMwZoN0663VeA9u
YncLdaCFzcOn7sROnYTOEOm6ju340qE1ENtlEv1wAFHgDJY1cwOuaxiLgs9zB6JAnZyfoz1Wgcl2
QuGvDtj+/OhzoGo3debkMylUd3mEc7A7erclna8BYujGpFskYWdFqPEoyxwroe8DT+2vUjkUgEu2
Q+8sHJ0bJcytiTEitCtV+Sa3OHhGfoTaJw0Yuy5+cjUGdE0FxtqqPtsdYVUFJ21SGOas0+VLzDwV
KMzBVeC0ykRK4D6eDgM0ZIok32RaJmRaJ+wxOGtFL4UWVteNiWSuNwidxjKpphatFyEuxfi5xjNr
RJiJuUAD6wiT73Li1HEV0Q9aJvMgrewLR82HZYyxw4ST+QRnAwe6QrlTC7LMzmh5V1ITEUwHxoOD
rPm8GNRvMVpj/ClNRNZ+qDrnHEggdVLIkG4EzxG2VrRI4zQ/9TCtIjlLbSe2LzopwzrYJDL3hgyw
NQWjSslOm1I9z4HjkiAYCRkC2nGVJkMKY8Cj61tEhkrz1cz9T1EUNTR5Q4ZUfbIPqs+4eQxuTB6C
nCaS/wA9qJvdJ2y0VKDIv6fSlWLn30gfzAF5L5uit6dpZJZTuS61EzMuTnIzOe1rA6yedjEo0YWu
NcLnzqFWm4V3cufeGolUrfDlhFotWbdl7YHeVdS1m6tgO21CZVxnhc2NfJ0M9ancBcsiCq+DwJub
Tfylk8t7ugsynAXweBqq9twuo2ZWmh0RnZxuqB/I2MtKpxhaAwmQ3WTROENE4461pkP3wQacPavq
4S7XVJAuCoyjSiQY6hHyLZTZyB1lSq3yeRd3975IhJsiJZ6aQTHJyJJr1CocsuYm2fNQpNGhdzzU
crewSjrdJJFqRzyeIY9vwNaShh9EQj4djMdaKD4LmtEScvaFW6rUDEjjE5EBAa2+2uT3kY7eKuT7
FRDKfD46zqkEOFQESlEa4APPvLHt4HtGsOIoHzSjfF052tdBFBY83Y/x/6DYQOAnnXDfLGcplYiW
ioTeSDufCoUtShV5QqUS1SQFDFeUMkZR1Eg4gyGnN3jIc1VIqHyEMhcXm5oR5NCKNoSMAglEH1IG
NkUT7mbYoovUqyiouFQBqFagOlBlhMhUXWxRfvn/5Zx9ESsJEML8iYNw1ezK4XpXNXFdvTZ6ij+9
zICn32T/3l/684NeCAw3Qw6BYftIv/8sqOoyeKgR7zzTGU4e/+//Ufaf3E8f7OlT//E58RbKQ/PI
O2ikUXXFgOtG95F48S5xlnovfyxRRvxgcHW3aWf68Wf80yj8+Qs+D+ef/84fP/yvg6D/mk3+x4Og
yx9Q+1Ms1X43CLQYCFNbW6jnyFz/MFF+NxX+/AXffRAUWot/Sqn/40HQzA8YWZIy1w38VcTrl5lA
xt3kz5gRzy0b/8uD8ONqoNHs10r7v/L9+YJ/LwR4JIbOMao4zwuBhP1PC0F8fYV2bZbL6/Ac5UyQ
D58Jzgdg8WTj6FV8er3ZE3AoQw6PeJD6yVEOwhuwzb8yHcTX/Hs+mB8we0WhKKpB4kVU89N8wItN
hgRA5HOcewJknX9nTfw8CNYHxJw2jYP4b4sXK//XQVDZMiyhLD3KiSDOswP3ReeDgf5Gx4/ueQze
TAROSHYOhY3xWAeBiPjAQbA/wMIgeP7dILA70nMMyknQw45zJjzvVc/4vO/Xl390V0JOTa81TBDr
NzNBFaJquhAV5shxDsLzFD1sEIRunK2PH/rnvUBmCjxRTJ5P0GNdDfrhq0H/gNyNdBaXhefXL0Mh
7goOMZPCGfn0OtLpoBy+O8JqA4GgyrAtXr/qT7NCsdFpOCYio2NdE8rha0L9YOE8YegaYZl4EZH8
PAjGBwOJiAEK7+nPj3VpiA9+8EGBLEdFSPO7UApxji1ul/pxXpsEnuPQQdAR7ToytiSvd0e+6k/z
ATtDoFOcpcrze/0vh1LsAr8G1fLzr3PAQcEgWAYpd1UcmeL15u6oE2boGnfHY708agcPgoYtMyEC
aIKXQfg1qCaK4ChBwSY6qo7zyvAc7R8wEzQ05xDWsIZ6nghvMgssB25UlHqEdzWvY90e9cNPCuuD
xvUJ0tvLfNgTTDBXFMxEjjW0Fq19B54RJj0ICueh8vvrk2UDhbUFRfs4F8XhoTVhpbBkx4z518OB
KIKyo6UZR7svHp5i0vGkp8Rra5RrxevNjYl0nEOfh/B3O8oZoBwcRZB1FvVyXX87AxgdCukyiZfn
HfNYx+DwVWCJLBtGfkgEnl5v9kMVgg9qGUvk345zIhx8XdSMD7gkiATT8/Enzr+frouEkyLxgLTi
KDLve66LxsEno1gNfD+mwkvI/Oa6qH5gQzAIqY/1eqA979eH3ZTAMTjkkOTn5fBmEERkIf6P6SJe
xzoULwf3IUPBnCeetujfePqmbwuTzAfFUKB6Pd/Sjy+GEkKjw25KLAqKs1DKKKc/vX49Jrk5Y6FB
G6h5rDvDS7HwkJmgQ2pWgWa+FiZ/PSNIMam09UBye845HO2ieI+bM8kVLoYcmE8vvupPJwXzgaYj
NHOCgneUx6V68L2JmJovyBDQ9bV3EDguaYq2gHu/7KJHOhQvId4BS0PkWOCXI0t4Da1/nQ8qKktS
j0yKYx2Ew2MJIikkplyWn8/EN7EEi4I/JF8vuvJ4Hev+IISzh50XmkYihTyKbf6mVqlQ0DWw6YIJ
cKTz4aWIesCieJI0cX2yrJds/JtNUiPxaIFnFinJo9wkBY30wJkgOl2fyE4vefg3NwdqFsCidLbS
Ix2El7TwITOBbJuMJxEr/zfRJfcrCBpcHI77Oq0evklyR6I4/30k3mTjOTRV5CzIAI/25nB4Ad/8
AEINvrr8u0Wh0DmOiwB08GNdFAfHFGTjVYBvMGV+U6ykJEHeiVDbPtpBOHx7ZLYDxgd4+HKRfrM9
KqRc0LfpR6ruokx5ePLN/sB6F/eFF8njvkGAP6XwXs+vI10UwjfnwOOSkIEmJEpULyUJZtivgRVR
NiVd7VhLEsJG8cBB0D44tgww/SUN+TYPyXkq+rWUo83Ka89hziF3BmE+qArF329k0AjiMWuSSdwf
a97pZYoeMghPl0OoFiIk+WkdEEAoCOUp3LwMz7FuCYcfEZQmyEbrgmz29NqzO6oOcnnHOe6wUvBv
DtwYDG4EKvwM8tJPrzcRFWlINg0ksMd6eXyRVxyyJp7STrSQvs78N0cE9yYofGTnjzW2FpCiA2cC
OmCIf+J2+MvGwLbIH1h01x7rt3/Zrw+ZAiKI4rokIoj964CeAN0hzXS0Z8MbGvU/b4ywKDmAQjbM
3xVmuDqDghbuV0d6OOiHX51pm9PANxJE/SazQCQp5srxxg/CVvuwzYDqFIJWk+LMb3Q8IpJEBE1v
xPMReqw7w4vQ5pCdgeY5Daoc3UD7dwaRXsGFFEXT8w31+KqVb6B8/87O4NgCd4f4df/2KCD2qqKA
jTrSncE4PNGGqpVag4bD3/6d4WkmEFObL0K6f2km/At/6XuD8tQP4sen1uRgV+3rYP7dX3htWX37
5z/Ig59aLX/6m6JV+fnNn0XE4n//18+dy08Nsz/86WsD7dM7vfz7l6/49s1/erPX7/X6H1e4AG/L
B0AETw3bLx/02b/+v2Ns7B+3v4qbRWnk9b/tb7P+vi3++el5sA9SKfAjf3/Vtz3c/9rDk+1jVr4+
6O+GbxGSH/zwieBOvz7nh2eT7jv42dNtvG35SarXZ/3wfBb94c+HDVq9+UkJwFi47/DwtC63f02z
qt73Flx5D36L2S7+6zwr944/+YSDnz+P/5plJZPn9Vk/jD8By8HPX5S7ap87qtjMDn74Mt6l6etz
fvjg77FcV01yn8WP9dvHCyXnwR/9JMl3ZbCNXx/196cX7UWHPz4d9vyion3r4Eef7co9Yy4aUw5/
dJB6ezYCwSo4+NnrbbRnDxO6s3d4dFXt9o3JeyzQdVb99d+pt4t3+0bmPZboZvvIBvw6Dj9MxPdY
opttGewbmvdYouLZICD3fHQhGjr4Z93s0sfsIdi3ewnRwTs8v3zYPb4+6O9xF3Xswx+e8dlfn/PD
s99jmW6yvWPyHquUR2NxsRv2fPL3WKnn23zfbHmPdXq+a7dv746U3d5jiV6UW7aAPYPyHkv0Mt4+
7LMVEbnZg+fhJdTKfZc7UYI7+OHXAVfHKnjcMzKiunXw8z9uH0pCgrTec5YK8fY7vEH612SXBnvf
4D2W6seteIMy3ZaPezcy7T0WrXiTWbDz9o3Se6xa8fwFK+AhqB72vcd7LF/xHqfZtmj2nVbae6xh
8Q7rJqj+urgPqnzf93iPxSzeZbOtd/ue/x7rmefX278m2/J+u+/OIFgJ77EqeI9pvP8d3mdhi28B
xHB8/bh/H5ECBXT4V/C3e2NCwR47/OHkMPYO/rss5qCKgiFrXj/nDwPzLms5i7f7bg+iAHL4wHAx
+a37+1O+54D8zcf/yXnz4Df4k73XoQ+/2fnbfUMjsvoHj/sNd/yg3nNpE21ehz+9YSfYc8SLLPw7
PPyP5jGHDvsnPmCzb62KxPHBH/5LFu/Z50XV9vBH/57i/Ocx2ZeW/Q5AfJusfQUb7vtnP+eixd94
iHfb8r/+HwAAAP//</cx:binary>
              </cx:geoCache>
            </cx:geography>
          </cx:layoutPr>
          <cx:valueColors>
            <cx:minColor>
              <a:schemeClr val="accent6">
                <a:lumMod val="20000"/>
                <a:lumOff val="80000"/>
              </a:schemeClr>
            </cx:minColor>
            <cx:maxColor>
              <a:schemeClr val="accent6">
                <a:lumMod val="75000"/>
              </a:schemeClr>
            </cx:maxColor>
          </cx:valueColors>
        </cx:series>
      </cx:plotAreaRegion>
    </cx:plotArea>
  </cx:chart>
  <cx:spPr>
    <a:solidFill>
      <a:schemeClr val="accent3">
        <a:lumMod val="20000"/>
        <a:lumOff val="8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38099</xdr:colOff>
      <xdr:row>0</xdr:row>
      <xdr:rowOff>0</xdr:rowOff>
    </xdr:from>
    <xdr:to>
      <xdr:col>26</xdr:col>
      <xdr:colOff>576942</xdr:colOff>
      <xdr:row>45</xdr:row>
      <xdr:rowOff>152399</xdr:rowOff>
    </xdr:to>
    <xdr:sp macro="" textlink="">
      <xdr:nvSpPr>
        <xdr:cNvPr id="3" name="Rectangle 2">
          <a:extLst>
            <a:ext uri="{FF2B5EF4-FFF2-40B4-BE49-F238E27FC236}">
              <a16:creationId xmlns:a16="http://schemas.microsoft.com/office/drawing/2014/main" id="{FA298A22-7103-F16D-7509-2B8B7663415A}"/>
            </a:ext>
          </a:extLst>
        </xdr:cNvPr>
        <xdr:cNvSpPr/>
      </xdr:nvSpPr>
      <xdr:spPr>
        <a:xfrm>
          <a:off x="2204356" y="0"/>
          <a:ext cx="14559643" cy="847997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xdr:colOff>
      <xdr:row>0</xdr:row>
      <xdr:rowOff>0</xdr:rowOff>
    </xdr:from>
    <xdr:to>
      <xdr:col>3</xdr:col>
      <xdr:colOff>30480</xdr:colOff>
      <xdr:row>46</xdr:row>
      <xdr:rowOff>0</xdr:rowOff>
    </xdr:to>
    <xdr:sp macro="" textlink="">
      <xdr:nvSpPr>
        <xdr:cNvPr id="2" name="Rectangle 1">
          <a:extLst>
            <a:ext uri="{FF2B5EF4-FFF2-40B4-BE49-F238E27FC236}">
              <a16:creationId xmlns:a16="http://schemas.microsoft.com/office/drawing/2014/main" id="{8F022CF9-D951-84C1-FE80-1540D0DA03A1}"/>
            </a:ext>
          </a:extLst>
        </xdr:cNvPr>
        <xdr:cNvSpPr/>
      </xdr:nvSpPr>
      <xdr:spPr>
        <a:xfrm>
          <a:off x="7620" y="0"/>
          <a:ext cx="2189117" cy="8512629"/>
        </a:xfrm>
        <a:prstGeom prst="rect">
          <a:avLst/>
        </a:prstGeom>
        <a:solidFill>
          <a:schemeClr val="accent1">
            <a:lumMod val="5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167640</xdr:colOff>
      <xdr:row>2</xdr:row>
      <xdr:rowOff>160262</xdr:rowOff>
    </xdr:from>
    <xdr:to>
      <xdr:col>1</xdr:col>
      <xdr:colOff>1737360</xdr:colOff>
      <xdr:row>5</xdr:row>
      <xdr:rowOff>145022</xdr:rowOff>
    </xdr:to>
    <xdr:sp macro="" textlink="Pivots!H4">
      <xdr:nvSpPr>
        <xdr:cNvPr id="5" name="TextBox 4">
          <a:extLst>
            <a:ext uri="{FF2B5EF4-FFF2-40B4-BE49-F238E27FC236}">
              <a16:creationId xmlns:a16="http://schemas.microsoft.com/office/drawing/2014/main" id="{EC68C1E6-EB29-F104-EC86-4C8E17902940}"/>
            </a:ext>
          </a:extLst>
        </xdr:cNvPr>
        <xdr:cNvSpPr txBox="1"/>
      </xdr:nvSpPr>
      <xdr:spPr>
        <a:xfrm>
          <a:off x="167640" y="530376"/>
          <a:ext cx="1743891" cy="539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F2C2150-C290-436A-88F0-2A5B2A12D945}" type="TxLink">
            <a:rPr lang="en-US" sz="2200" b="1" i="0" u="none" strike="noStrike">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latin typeface="Century" panose="02040604050505020304" pitchFamily="18" charset="0"/>
              <a:ea typeface="Calibri"/>
              <a:cs typeface="Calibri"/>
            </a:rPr>
            <a:pPr marL="0" indent="0" algn="l"/>
            <a:t>2,400</a:t>
          </a:fld>
          <a:endParaRPr lang="en-US" sz="2200" b="1" i="0" u="none" strike="noStrike">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latin typeface="Century" panose="02040604050505020304" pitchFamily="18" charset="0"/>
            <a:ea typeface="Calibri"/>
            <a:cs typeface="Calibri"/>
          </a:endParaRPr>
        </a:p>
      </xdr:txBody>
    </xdr:sp>
    <xdr:clientData/>
  </xdr:twoCellAnchor>
  <xdr:twoCellAnchor>
    <xdr:from>
      <xdr:col>1</xdr:col>
      <xdr:colOff>53340</xdr:colOff>
      <xdr:row>8</xdr:row>
      <xdr:rowOff>13790</xdr:rowOff>
    </xdr:from>
    <xdr:to>
      <xdr:col>1</xdr:col>
      <xdr:colOff>1798320</xdr:colOff>
      <xdr:row>10</xdr:row>
      <xdr:rowOff>183607</xdr:rowOff>
    </xdr:to>
    <xdr:sp macro="" textlink="Pivots!I4">
      <xdr:nvSpPr>
        <xdr:cNvPr id="6" name="TextBox 5">
          <a:extLst>
            <a:ext uri="{FF2B5EF4-FFF2-40B4-BE49-F238E27FC236}">
              <a16:creationId xmlns:a16="http://schemas.microsoft.com/office/drawing/2014/main" id="{3F762A83-5A8C-FF97-49EE-05CEA6E8AED5}"/>
            </a:ext>
          </a:extLst>
        </xdr:cNvPr>
        <xdr:cNvSpPr txBox="1"/>
      </xdr:nvSpPr>
      <xdr:spPr>
        <a:xfrm>
          <a:off x="227511" y="1494247"/>
          <a:ext cx="1744980" cy="539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EB7112E-13E0-4FDC-A65F-FA7C9989F969}" type="TxLink">
            <a:rPr lang="en-US" sz="2200" b="1" i="0" u="none" strike="noStrike">
              <a:gradFill>
                <a:gsLst>
                  <a:gs pos="0">
                    <a:schemeClr val="accent4">
                      <a:lumMod val="75000"/>
                    </a:schemeClr>
                  </a:gs>
                  <a:gs pos="74000">
                    <a:schemeClr val="accent1">
                      <a:lumMod val="45000"/>
                      <a:lumOff val="55000"/>
                    </a:schemeClr>
                  </a:gs>
                  <a:gs pos="83000">
                    <a:schemeClr val="accent1">
                      <a:lumMod val="45000"/>
                      <a:lumOff val="55000"/>
                    </a:schemeClr>
                  </a:gs>
                  <a:gs pos="100000">
                    <a:schemeClr val="accent4">
                      <a:lumMod val="20000"/>
                      <a:lumOff val="80000"/>
                    </a:schemeClr>
                  </a:gs>
                </a:gsLst>
                <a:lin ang="5400000" scaled="1"/>
              </a:gradFill>
              <a:effectLst>
                <a:outerShdw blurRad="50800" dist="38100" algn="l" rotWithShape="0">
                  <a:prstClr val="black">
                    <a:alpha val="40000"/>
                  </a:prstClr>
                </a:outerShdw>
              </a:effectLst>
              <a:latin typeface="Century" panose="02040604050505020304" pitchFamily="18" charset="0"/>
              <a:ea typeface="Calibri"/>
              <a:cs typeface="Calibri"/>
            </a:rPr>
            <a:pPr marL="0" indent="0" algn="l"/>
            <a:t>$649.0k</a:t>
          </a:fld>
          <a:endParaRPr lang="en-US" sz="2200" b="1" i="0" u="none" strike="noStrike">
            <a:gradFill>
              <a:gsLst>
                <a:gs pos="0">
                  <a:schemeClr val="accent4">
                    <a:lumMod val="75000"/>
                  </a:schemeClr>
                </a:gs>
                <a:gs pos="74000">
                  <a:schemeClr val="accent1">
                    <a:lumMod val="45000"/>
                    <a:lumOff val="55000"/>
                  </a:schemeClr>
                </a:gs>
                <a:gs pos="83000">
                  <a:schemeClr val="accent1">
                    <a:lumMod val="45000"/>
                    <a:lumOff val="55000"/>
                  </a:schemeClr>
                </a:gs>
                <a:gs pos="100000">
                  <a:schemeClr val="accent4">
                    <a:lumMod val="20000"/>
                    <a:lumOff val="80000"/>
                  </a:schemeClr>
                </a:gs>
              </a:gsLst>
              <a:lin ang="5400000" scaled="1"/>
            </a:gradFill>
            <a:effectLst>
              <a:outerShdw blurRad="50800" dist="38100" algn="l" rotWithShape="0">
                <a:prstClr val="black">
                  <a:alpha val="40000"/>
                </a:prstClr>
              </a:outerShdw>
            </a:effectLst>
            <a:latin typeface="Century" panose="02040604050505020304" pitchFamily="18" charset="0"/>
            <a:ea typeface="Calibri"/>
            <a:cs typeface="Calibri"/>
          </a:endParaRPr>
        </a:p>
      </xdr:txBody>
    </xdr:sp>
    <xdr:clientData/>
  </xdr:twoCellAnchor>
  <xdr:twoCellAnchor>
    <xdr:from>
      <xdr:col>1</xdr:col>
      <xdr:colOff>53340</xdr:colOff>
      <xdr:row>13</xdr:row>
      <xdr:rowOff>52373</xdr:rowOff>
    </xdr:from>
    <xdr:to>
      <xdr:col>1</xdr:col>
      <xdr:colOff>1798320</xdr:colOff>
      <xdr:row>16</xdr:row>
      <xdr:rowOff>37134</xdr:rowOff>
    </xdr:to>
    <xdr:sp macro="" textlink="Pivots!J4">
      <xdr:nvSpPr>
        <xdr:cNvPr id="7" name="TextBox 6">
          <a:extLst>
            <a:ext uri="{FF2B5EF4-FFF2-40B4-BE49-F238E27FC236}">
              <a16:creationId xmlns:a16="http://schemas.microsoft.com/office/drawing/2014/main" id="{228D2AC9-EF17-C3B6-DBBE-A054ADE11E8A}"/>
            </a:ext>
          </a:extLst>
        </xdr:cNvPr>
        <xdr:cNvSpPr txBox="1"/>
      </xdr:nvSpPr>
      <xdr:spPr>
        <a:xfrm>
          <a:off x="227511" y="2458116"/>
          <a:ext cx="1744980" cy="539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6F08ACFC-F1A3-4683-9B7F-138ACA83694C}" type="TxLink">
            <a:rPr lang="en-US" sz="2200" b="1" i="0" u="none" strike="noStrike">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latin typeface="Century" panose="02040604050505020304" pitchFamily="18" charset="0"/>
              <a:ea typeface="Calibri"/>
              <a:cs typeface="Calibri"/>
            </a:rPr>
            <a:pPr marL="0" indent="0" algn="l"/>
            <a:t>11,997</a:t>
          </a:fld>
          <a:endParaRPr lang="en-US" sz="2200" b="1" i="0" u="none" strike="noStrike">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latin typeface="Century" panose="02040604050505020304" pitchFamily="18" charset="0"/>
            <a:ea typeface="Calibri"/>
            <a:cs typeface="Calibri"/>
          </a:endParaRPr>
        </a:p>
      </xdr:txBody>
    </xdr:sp>
    <xdr:clientData/>
  </xdr:twoCellAnchor>
  <xdr:twoCellAnchor>
    <xdr:from>
      <xdr:col>1</xdr:col>
      <xdr:colOff>53340</xdr:colOff>
      <xdr:row>18</xdr:row>
      <xdr:rowOff>90957</xdr:rowOff>
    </xdr:from>
    <xdr:to>
      <xdr:col>1</xdr:col>
      <xdr:colOff>1798320</xdr:colOff>
      <xdr:row>21</xdr:row>
      <xdr:rowOff>75717</xdr:rowOff>
    </xdr:to>
    <xdr:sp macro="" textlink="Pivots!K4">
      <xdr:nvSpPr>
        <xdr:cNvPr id="8" name="TextBox 7">
          <a:extLst>
            <a:ext uri="{FF2B5EF4-FFF2-40B4-BE49-F238E27FC236}">
              <a16:creationId xmlns:a16="http://schemas.microsoft.com/office/drawing/2014/main" id="{45034034-C34A-E459-4AAD-F469190FDE09}"/>
            </a:ext>
          </a:extLst>
        </xdr:cNvPr>
        <xdr:cNvSpPr txBox="1"/>
      </xdr:nvSpPr>
      <xdr:spPr>
        <a:xfrm>
          <a:off x="227511" y="3421986"/>
          <a:ext cx="1744980" cy="539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BED5FFFD-96AE-46C2-8924-C943423CF543}" type="TxLink">
            <a:rPr lang="en-US" sz="2200" b="1" i="0" u="none" strike="noStrike">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latin typeface="Century" panose="02040604050505020304" pitchFamily="18" charset="0"/>
              <a:ea typeface="Calibri"/>
              <a:cs typeface="Calibri"/>
            </a:rPr>
            <a:pPr marL="0" indent="0" algn="l"/>
            <a:t>4.0</a:t>
          </a:fld>
          <a:endParaRPr lang="en-US" sz="2200" b="1" i="0" u="none" strike="noStrike">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latin typeface="Century" panose="02040604050505020304" pitchFamily="18" charset="0"/>
            <a:ea typeface="Calibri"/>
            <a:cs typeface="Calibri"/>
          </a:endParaRPr>
        </a:p>
      </xdr:txBody>
    </xdr:sp>
    <xdr:clientData/>
  </xdr:twoCellAnchor>
  <xdr:twoCellAnchor>
    <xdr:from>
      <xdr:col>1</xdr:col>
      <xdr:colOff>53340</xdr:colOff>
      <xdr:row>23</xdr:row>
      <xdr:rowOff>129540</xdr:rowOff>
    </xdr:from>
    <xdr:to>
      <xdr:col>1</xdr:col>
      <xdr:colOff>1798320</xdr:colOff>
      <xdr:row>26</xdr:row>
      <xdr:rowOff>114300</xdr:rowOff>
    </xdr:to>
    <xdr:sp macro="" textlink="Pivots!M4">
      <xdr:nvSpPr>
        <xdr:cNvPr id="9" name="TextBox 8">
          <a:extLst>
            <a:ext uri="{FF2B5EF4-FFF2-40B4-BE49-F238E27FC236}">
              <a16:creationId xmlns:a16="http://schemas.microsoft.com/office/drawing/2014/main" id="{C43EEC09-6EBF-5CA9-8D03-BA769B2CED10}"/>
            </a:ext>
          </a:extLst>
        </xdr:cNvPr>
        <xdr:cNvSpPr txBox="1"/>
      </xdr:nvSpPr>
      <xdr:spPr>
        <a:xfrm>
          <a:off x="228600" y="4335780"/>
          <a:ext cx="174498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57D654F-74D5-4BCE-BE0E-270586F449D0}" type="TxLink">
            <a:rPr lang="en-US" sz="2200" b="1" i="0" u="none" strike="noStrike">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latin typeface="Century" panose="02040604050505020304" pitchFamily="18" charset="0"/>
              <a:ea typeface="Calibri"/>
              <a:cs typeface="Calibri"/>
            </a:rPr>
            <a:pPr marL="0" indent="0" algn="l"/>
            <a:t>2.3</a:t>
          </a:fld>
          <a:endParaRPr lang="en-US" sz="2200" b="1" i="0" u="none" strike="noStrike">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latin typeface="Century" panose="02040604050505020304" pitchFamily="18" charset="0"/>
            <a:ea typeface="Calibri"/>
            <a:cs typeface="Calibri"/>
          </a:endParaRPr>
        </a:p>
      </xdr:txBody>
    </xdr:sp>
    <xdr:clientData/>
  </xdr:twoCellAnchor>
  <xdr:twoCellAnchor>
    <xdr:from>
      <xdr:col>1</xdr:col>
      <xdr:colOff>45720</xdr:colOff>
      <xdr:row>0</xdr:row>
      <xdr:rowOff>152400</xdr:rowOff>
    </xdr:from>
    <xdr:to>
      <xdr:col>1</xdr:col>
      <xdr:colOff>1165602</xdr:colOff>
      <xdr:row>2</xdr:row>
      <xdr:rowOff>146472</xdr:rowOff>
    </xdr:to>
    <xdr:sp macro="" textlink="">
      <xdr:nvSpPr>
        <xdr:cNvPr id="10" name="TextBox 9">
          <a:extLst>
            <a:ext uri="{FF2B5EF4-FFF2-40B4-BE49-F238E27FC236}">
              <a16:creationId xmlns:a16="http://schemas.microsoft.com/office/drawing/2014/main" id="{20607880-00B1-C034-E238-BCF31D619787}"/>
            </a:ext>
          </a:extLst>
        </xdr:cNvPr>
        <xdr:cNvSpPr txBox="1"/>
      </xdr:nvSpPr>
      <xdr:spPr>
        <a:xfrm>
          <a:off x="219891" y="152400"/>
          <a:ext cx="1119882" cy="364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Bookman Old Style" panose="02050604050505020204" pitchFamily="18" charset="0"/>
            </a:rPr>
            <a:t>🛒Orders   </a:t>
          </a:r>
        </a:p>
      </xdr:txBody>
    </xdr:sp>
    <xdr:clientData/>
  </xdr:twoCellAnchor>
  <xdr:twoCellAnchor>
    <xdr:from>
      <xdr:col>1</xdr:col>
      <xdr:colOff>45720</xdr:colOff>
      <xdr:row>6</xdr:row>
      <xdr:rowOff>5927</xdr:rowOff>
    </xdr:from>
    <xdr:to>
      <xdr:col>1</xdr:col>
      <xdr:colOff>1296838</xdr:colOff>
      <xdr:row>8</xdr:row>
      <xdr:rowOff>0</xdr:rowOff>
    </xdr:to>
    <xdr:sp macro="" textlink="">
      <xdr:nvSpPr>
        <xdr:cNvPr id="11" name="TextBox 10">
          <a:extLst>
            <a:ext uri="{FF2B5EF4-FFF2-40B4-BE49-F238E27FC236}">
              <a16:creationId xmlns:a16="http://schemas.microsoft.com/office/drawing/2014/main" id="{002DAFB7-867C-372D-7260-7D6BB01046D6}"/>
            </a:ext>
          </a:extLst>
        </xdr:cNvPr>
        <xdr:cNvSpPr txBox="1"/>
      </xdr:nvSpPr>
      <xdr:spPr>
        <a:xfrm>
          <a:off x="219891" y="1116270"/>
          <a:ext cx="1251118" cy="364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baseline="0">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Bookman Old Style" panose="02050604050505020204" pitchFamily="18" charset="0"/>
            </a:rPr>
            <a:t>💵 Amount</a:t>
          </a:r>
          <a:r>
            <a:rPr lang="en-US" sz="1300" b="0">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Bookman Old Style" panose="02050604050505020204" pitchFamily="18" charset="0"/>
            </a:rPr>
            <a:t>   </a:t>
          </a:r>
        </a:p>
      </xdr:txBody>
    </xdr:sp>
    <xdr:clientData/>
  </xdr:twoCellAnchor>
  <xdr:twoCellAnchor>
    <xdr:from>
      <xdr:col>1</xdr:col>
      <xdr:colOff>45720</xdr:colOff>
      <xdr:row>11</xdr:row>
      <xdr:rowOff>44511</xdr:rowOff>
    </xdr:from>
    <xdr:to>
      <xdr:col>1</xdr:col>
      <xdr:colOff>1261842</xdr:colOff>
      <xdr:row>13</xdr:row>
      <xdr:rowOff>38583</xdr:rowOff>
    </xdr:to>
    <xdr:sp macro="" textlink="">
      <xdr:nvSpPr>
        <xdr:cNvPr id="12" name="TextBox 11">
          <a:extLst>
            <a:ext uri="{FF2B5EF4-FFF2-40B4-BE49-F238E27FC236}">
              <a16:creationId xmlns:a16="http://schemas.microsoft.com/office/drawing/2014/main" id="{43A9795C-3289-7CC1-144A-CC0236F51031}"/>
            </a:ext>
          </a:extLst>
        </xdr:cNvPr>
        <xdr:cNvSpPr txBox="1"/>
      </xdr:nvSpPr>
      <xdr:spPr>
        <a:xfrm>
          <a:off x="219891" y="2080140"/>
          <a:ext cx="1216122" cy="364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baseline="0">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Bookman Old Style" panose="02050604050505020204" pitchFamily="18" charset="0"/>
            </a:rPr>
            <a:t>👚 Qunatity</a:t>
          </a:r>
          <a:r>
            <a:rPr lang="en-US" sz="1300" b="0">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Bookman Old Style" panose="02050604050505020204" pitchFamily="18" charset="0"/>
            </a:rPr>
            <a:t>  </a:t>
          </a:r>
        </a:p>
      </xdr:txBody>
    </xdr:sp>
    <xdr:clientData/>
  </xdr:twoCellAnchor>
  <xdr:twoCellAnchor>
    <xdr:from>
      <xdr:col>1</xdr:col>
      <xdr:colOff>45720</xdr:colOff>
      <xdr:row>16</xdr:row>
      <xdr:rowOff>83096</xdr:rowOff>
    </xdr:from>
    <xdr:to>
      <xdr:col>1</xdr:col>
      <xdr:colOff>1165602</xdr:colOff>
      <xdr:row>18</xdr:row>
      <xdr:rowOff>77167</xdr:rowOff>
    </xdr:to>
    <xdr:sp macro="" textlink="">
      <xdr:nvSpPr>
        <xdr:cNvPr id="13" name="TextBox 12">
          <a:extLst>
            <a:ext uri="{FF2B5EF4-FFF2-40B4-BE49-F238E27FC236}">
              <a16:creationId xmlns:a16="http://schemas.microsoft.com/office/drawing/2014/main" id="{05826E76-0946-1D95-662F-5224D30F9C25}"/>
            </a:ext>
          </a:extLst>
        </xdr:cNvPr>
        <xdr:cNvSpPr txBox="1"/>
      </xdr:nvSpPr>
      <xdr:spPr>
        <a:xfrm>
          <a:off x="219891" y="3044010"/>
          <a:ext cx="1119882" cy="364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Bookman Old Style" panose="02050604050505020204" pitchFamily="18" charset="0"/>
            </a:rPr>
            <a:t>🎯Rating   </a:t>
          </a:r>
        </a:p>
      </xdr:txBody>
    </xdr:sp>
    <xdr:clientData/>
  </xdr:twoCellAnchor>
  <xdr:twoCellAnchor>
    <xdr:from>
      <xdr:col>1</xdr:col>
      <xdr:colOff>45720</xdr:colOff>
      <xdr:row>21</xdr:row>
      <xdr:rowOff>121679</xdr:rowOff>
    </xdr:from>
    <xdr:to>
      <xdr:col>2</xdr:col>
      <xdr:colOff>87086</xdr:colOff>
      <xdr:row>23</xdr:row>
      <xdr:rowOff>115751</xdr:rowOff>
    </xdr:to>
    <xdr:sp macro="" textlink="">
      <xdr:nvSpPr>
        <xdr:cNvPr id="14" name="TextBox 13">
          <a:extLst>
            <a:ext uri="{FF2B5EF4-FFF2-40B4-BE49-F238E27FC236}">
              <a16:creationId xmlns:a16="http://schemas.microsoft.com/office/drawing/2014/main" id="{3191460B-B069-82E4-5061-6D4B34341D2F}"/>
            </a:ext>
          </a:extLst>
        </xdr:cNvPr>
        <xdr:cNvSpPr txBox="1"/>
      </xdr:nvSpPr>
      <xdr:spPr>
        <a:xfrm>
          <a:off x="219891" y="4007879"/>
          <a:ext cx="1881052" cy="364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baseline="0">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Bookman Old Style" panose="02050604050505020204" pitchFamily="18" charset="0"/>
            </a:rPr>
            <a:t>🗓️ Days to Deliver</a:t>
          </a:r>
          <a:r>
            <a:rPr lang="en-US" sz="1300" b="0">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Bookman Old Style" panose="02050604050505020204" pitchFamily="18" charset="0"/>
            </a:rPr>
            <a:t>   </a:t>
          </a:r>
        </a:p>
      </xdr:txBody>
    </xdr:sp>
    <xdr:clientData/>
  </xdr:twoCellAnchor>
  <xdr:twoCellAnchor>
    <xdr:from>
      <xdr:col>3</xdr:col>
      <xdr:colOff>272143</xdr:colOff>
      <xdr:row>0</xdr:row>
      <xdr:rowOff>108858</xdr:rowOff>
    </xdr:from>
    <xdr:to>
      <xdr:col>10</xdr:col>
      <xdr:colOff>76199</xdr:colOff>
      <xdr:row>15</xdr:row>
      <xdr:rowOff>1</xdr:rowOff>
    </xdr:to>
    <xdr:graphicFrame macro="">
      <xdr:nvGraphicFramePr>
        <xdr:cNvPr id="15" name="Chart 14">
          <a:extLst>
            <a:ext uri="{FF2B5EF4-FFF2-40B4-BE49-F238E27FC236}">
              <a16:creationId xmlns:a16="http://schemas.microsoft.com/office/drawing/2014/main" id="{9713709C-AE98-4A10-9CF9-4A4195775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435428</xdr:colOff>
      <xdr:row>0</xdr:row>
      <xdr:rowOff>163286</xdr:rowOff>
    </xdr:from>
    <xdr:to>
      <xdr:col>17</xdr:col>
      <xdr:colOff>381000</xdr:colOff>
      <xdr:row>15</xdr:row>
      <xdr:rowOff>21771</xdr:rowOff>
    </xdr:to>
    <xdr:sp macro="" textlink="">
      <xdr:nvSpPr>
        <xdr:cNvPr id="17" name="Rectangle 16">
          <a:extLst>
            <a:ext uri="{FF2B5EF4-FFF2-40B4-BE49-F238E27FC236}">
              <a16:creationId xmlns:a16="http://schemas.microsoft.com/office/drawing/2014/main" id="{F69565E7-9C51-4B80-552E-21E2183504C1}"/>
            </a:ext>
          </a:extLst>
        </xdr:cNvPr>
        <xdr:cNvSpPr/>
      </xdr:nvSpPr>
      <xdr:spPr>
        <a:xfrm>
          <a:off x="6868885" y="163286"/>
          <a:ext cx="4212772" cy="263434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130629</xdr:colOff>
      <xdr:row>2</xdr:row>
      <xdr:rowOff>174171</xdr:rowOff>
    </xdr:from>
    <xdr:to>
      <xdr:col>17</xdr:col>
      <xdr:colOff>185057</xdr:colOff>
      <xdr:row>13</xdr:row>
      <xdr:rowOff>108857</xdr:rowOff>
    </xdr:to>
    <xdr:pic>
      <xdr:nvPicPr>
        <xdr:cNvPr id="16" name="Picture 15">
          <a:extLst>
            <a:ext uri="{FF2B5EF4-FFF2-40B4-BE49-F238E27FC236}">
              <a16:creationId xmlns:a16="http://schemas.microsoft.com/office/drawing/2014/main" id="{A10C4F9D-6696-8B8B-920B-D177340162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73686" y="544285"/>
          <a:ext cx="3712028" cy="19703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130628</xdr:colOff>
      <xdr:row>1</xdr:row>
      <xdr:rowOff>32658</xdr:rowOff>
    </xdr:from>
    <xdr:to>
      <xdr:col>26</xdr:col>
      <xdr:colOff>21769</xdr:colOff>
      <xdr:row>15</xdr:row>
      <xdr:rowOff>21771</xdr:rowOff>
    </xdr:to>
    <xdr:graphicFrame macro="">
      <xdr:nvGraphicFramePr>
        <xdr:cNvPr id="18" name="Chart 17">
          <a:extLst>
            <a:ext uri="{FF2B5EF4-FFF2-40B4-BE49-F238E27FC236}">
              <a16:creationId xmlns:a16="http://schemas.microsoft.com/office/drawing/2014/main" id="{DAD70118-BF8D-4CB1-BFDE-682798FF1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329837</xdr:colOff>
      <xdr:row>16</xdr:row>
      <xdr:rowOff>34835</xdr:rowOff>
    </xdr:from>
    <xdr:to>
      <xdr:col>10</xdr:col>
      <xdr:colOff>32657</xdr:colOff>
      <xdr:row>45</xdr:row>
      <xdr:rowOff>65314</xdr:rowOff>
    </xdr:to>
    <xdr:graphicFrame macro="">
      <xdr:nvGraphicFramePr>
        <xdr:cNvPr id="19" name="Chart 18">
          <a:extLst>
            <a:ext uri="{FF2B5EF4-FFF2-40B4-BE49-F238E27FC236}">
              <a16:creationId xmlns:a16="http://schemas.microsoft.com/office/drawing/2014/main" id="{1939A49E-F38A-4E31-BA41-6421C82BF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559525</xdr:colOff>
      <xdr:row>35</xdr:row>
      <xdr:rowOff>39189</xdr:rowOff>
    </xdr:from>
    <xdr:to>
      <xdr:col>8</xdr:col>
      <xdr:colOff>10885</xdr:colOff>
      <xdr:row>44</xdr:row>
      <xdr:rowOff>77289</xdr:rowOff>
    </xdr:to>
    <xdr:graphicFrame macro="">
      <xdr:nvGraphicFramePr>
        <xdr:cNvPr id="20" name="Chart 19">
          <a:extLst>
            <a:ext uri="{FF2B5EF4-FFF2-40B4-BE49-F238E27FC236}">
              <a16:creationId xmlns:a16="http://schemas.microsoft.com/office/drawing/2014/main" id="{136FA60E-DC35-4320-B2C1-6C49E8CEBA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391886</xdr:colOff>
      <xdr:row>16</xdr:row>
      <xdr:rowOff>75111</xdr:rowOff>
    </xdr:from>
    <xdr:to>
      <xdr:col>17</xdr:col>
      <xdr:colOff>315686</xdr:colOff>
      <xdr:row>45</xdr:row>
      <xdr:rowOff>65314</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5CC41A90-777B-4EB5-8F9B-09C7C2762D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825343" y="3036025"/>
              <a:ext cx="4191000" cy="53568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198120</xdr:colOff>
      <xdr:row>21</xdr:row>
      <xdr:rowOff>38100</xdr:rowOff>
    </xdr:from>
    <xdr:to>
      <xdr:col>16</xdr:col>
      <xdr:colOff>236220</xdr:colOff>
      <xdr:row>28</xdr:row>
      <xdr:rowOff>60960</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FCCE57BE-4B0F-403A-AAF2-5349D97120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067800" y="3878580"/>
              <a:ext cx="1257300" cy="13030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65315</xdr:colOff>
      <xdr:row>16</xdr:row>
      <xdr:rowOff>43542</xdr:rowOff>
    </xdr:from>
    <xdr:to>
      <xdr:col>26</xdr:col>
      <xdr:colOff>10886</xdr:colOff>
      <xdr:row>30</xdr:row>
      <xdr:rowOff>76199</xdr:rowOff>
    </xdr:to>
    <xdr:graphicFrame macro="">
      <xdr:nvGraphicFramePr>
        <xdr:cNvPr id="26" name="Chart 25">
          <a:extLst>
            <a:ext uri="{FF2B5EF4-FFF2-40B4-BE49-F238E27FC236}">
              <a16:creationId xmlns:a16="http://schemas.microsoft.com/office/drawing/2014/main" id="{37A9AA3B-675B-4DBC-8F12-A46D9A3BDB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32658</xdr:colOff>
      <xdr:row>31</xdr:row>
      <xdr:rowOff>21772</xdr:rowOff>
    </xdr:from>
    <xdr:to>
      <xdr:col>26</xdr:col>
      <xdr:colOff>0</xdr:colOff>
      <xdr:row>45</xdr:row>
      <xdr:rowOff>87086</xdr:rowOff>
    </xdr:to>
    <xdr:graphicFrame macro="">
      <xdr:nvGraphicFramePr>
        <xdr:cNvPr id="27" name="Chart 26">
          <a:extLst>
            <a:ext uri="{FF2B5EF4-FFF2-40B4-BE49-F238E27FC236}">
              <a16:creationId xmlns:a16="http://schemas.microsoft.com/office/drawing/2014/main" id="{D5917992-F011-4D6C-B6F5-E0B961DFE2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42454</xdr:colOff>
      <xdr:row>26</xdr:row>
      <xdr:rowOff>163285</xdr:rowOff>
    </xdr:from>
    <xdr:to>
      <xdr:col>2</xdr:col>
      <xdr:colOff>34834</xdr:colOff>
      <xdr:row>36</xdr:row>
      <xdr:rowOff>97971</xdr:rowOff>
    </xdr:to>
    <mc:AlternateContent xmlns:mc="http://schemas.openxmlformats.org/markup-compatibility/2006">
      <mc:Choice xmlns:a14="http://schemas.microsoft.com/office/drawing/2010/main" Requires="a14">
        <xdr:graphicFrame macro="">
          <xdr:nvGraphicFramePr>
            <xdr:cNvPr id="28" name="Order Mode">
              <a:extLst>
                <a:ext uri="{FF2B5EF4-FFF2-40B4-BE49-F238E27FC236}">
                  <a16:creationId xmlns:a16="http://schemas.microsoft.com/office/drawing/2014/main" id="{FDC9D3BC-93C6-48E6-8B46-734A8779EE56}"/>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216625" y="4974771"/>
              <a:ext cx="1832066" cy="17852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51163</xdr:colOff>
      <xdr:row>37</xdr:row>
      <xdr:rowOff>32657</xdr:rowOff>
    </xdr:from>
    <xdr:to>
      <xdr:col>2</xdr:col>
      <xdr:colOff>43543</xdr:colOff>
      <xdr:row>45</xdr:row>
      <xdr:rowOff>10886</xdr:rowOff>
    </xdr:to>
    <mc:AlternateContent xmlns:mc="http://schemas.openxmlformats.org/markup-compatibility/2006">
      <mc:Choice xmlns:a14="http://schemas.microsoft.com/office/drawing/2010/main" Requires="a14">
        <xdr:graphicFrame macro="">
          <xdr:nvGraphicFramePr>
            <xdr:cNvPr id="29" name="Gender Value 1">
              <a:extLst>
                <a:ext uri="{FF2B5EF4-FFF2-40B4-BE49-F238E27FC236}">
                  <a16:creationId xmlns:a16="http://schemas.microsoft.com/office/drawing/2014/main" id="{E369ED8A-E469-4794-A8CD-D2038B8300D6}"/>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dr:sp macro="" textlink="">
          <xdr:nvSpPr>
            <xdr:cNvPr id="0" name=""/>
            <xdr:cNvSpPr>
              <a:spLocks noTextEdit="1"/>
            </xdr:cNvSpPr>
          </xdr:nvSpPr>
          <xdr:spPr>
            <a:xfrm>
              <a:off x="225334" y="6879771"/>
              <a:ext cx="1832066" cy="14586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21772</xdr:colOff>
      <xdr:row>1</xdr:row>
      <xdr:rowOff>21771</xdr:rowOff>
    </xdr:from>
    <xdr:to>
      <xdr:col>16</xdr:col>
      <xdr:colOff>370114</xdr:colOff>
      <xdr:row>2</xdr:row>
      <xdr:rowOff>141514</xdr:rowOff>
    </xdr:to>
    <xdr:sp macro="" textlink="">
      <xdr:nvSpPr>
        <xdr:cNvPr id="31" name="TextBox 30">
          <a:extLst>
            <a:ext uri="{FF2B5EF4-FFF2-40B4-BE49-F238E27FC236}">
              <a16:creationId xmlns:a16="http://schemas.microsoft.com/office/drawing/2014/main" id="{83DC4418-BBB7-4642-150C-00974B07C626}"/>
            </a:ext>
          </a:extLst>
        </xdr:cNvPr>
        <xdr:cNvSpPr txBox="1"/>
      </xdr:nvSpPr>
      <xdr:spPr>
        <a:xfrm>
          <a:off x="7674429" y="206828"/>
          <a:ext cx="2786742"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chemeClr val="tx1"/>
              </a:solidFill>
              <a:latin typeface="Bookman Old Style" panose="02050604050505020204" pitchFamily="18" charset="0"/>
            </a:rPr>
            <a:t>Mode of</a:t>
          </a:r>
          <a:r>
            <a:rPr lang="en-US" sz="1000" b="1" baseline="0">
              <a:solidFill>
                <a:schemeClr val="tx1"/>
              </a:solidFill>
              <a:latin typeface="Bookman Old Style" panose="02050604050505020204" pitchFamily="18" charset="0"/>
            </a:rPr>
            <a:t> Purchase</a:t>
          </a:r>
          <a:endParaRPr lang="en-US" sz="1000" b="1">
            <a:solidFill>
              <a:schemeClr val="tx1"/>
            </a:solidFill>
            <a:latin typeface="Bookman Old Style" panose="020506040505050202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shma Chowdhary" refreshedDate="46018.492672337961" createdVersion="8" refreshedVersion="8" minRefreshableVersion="3" recordCount="2400" xr:uid="{53B348F3-D4DC-406C-A614-6F1BAADB797A}">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Months (Order Date)"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4151086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D103C3-3E92-4BDD-B42B-00E739A982E3}" name="PivotTable6" cacheId="4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8">
  <location ref="B53:E111"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EF5ACA-BE4A-40C2-81F5-32F8E518CE55}" name="PivotTable5" cacheId="43"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8">
  <location ref="M28:N33" firstHeaderRow="1" firstDataRow="1" firstDataCol="1"/>
  <pivotFields count="18">
    <pivotField showAll="0"/>
    <pivotField showAll="0" sortType="descending">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axis="axisRow"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Items count="1">
    <i/>
  </colItems>
  <dataFields count="1">
    <dataField name="Sum of Quantity" fld="2" baseField="0" baseItem="0"/>
  </dataFields>
  <chartFormats count="13">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2" format="8" series="1">
      <pivotArea type="data" outline="0" fieldPosition="0">
        <references count="2">
          <reference field="4294967294" count="1" selected="0">
            <x v="0"/>
          </reference>
          <reference field="7" count="1" selected="0">
            <x v="0"/>
          </reference>
        </references>
      </pivotArea>
    </chartFormat>
    <chartFormat chart="2" format="9" series="1">
      <pivotArea type="data" outline="0" fieldPosition="0">
        <references count="2">
          <reference field="4294967294" count="1" selected="0">
            <x v="0"/>
          </reference>
          <reference field="7" count="1" selected="0">
            <x v="1"/>
          </reference>
        </references>
      </pivotArea>
    </chartFormat>
    <chartFormat chart="2" format="10" series="1">
      <pivotArea type="data" outline="0" fieldPosition="0">
        <references count="2">
          <reference field="4294967294" count="1" selected="0">
            <x v="0"/>
          </reference>
          <reference field="7" count="1" selected="0">
            <x v="2"/>
          </reference>
        </references>
      </pivotArea>
    </chartFormat>
    <chartFormat chart="2" format="11" series="1">
      <pivotArea type="data" outline="0" fieldPosition="0">
        <references count="2">
          <reference field="4294967294" count="1" selected="0">
            <x v="0"/>
          </reference>
          <reference field="7" count="1" selected="0">
            <x v="3"/>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7" count="1" selected="0">
            <x v="0"/>
          </reference>
        </references>
      </pivotArea>
    </chartFormat>
    <chartFormat chart="7" format="8">
      <pivotArea type="data" outline="0" fieldPosition="0">
        <references count="2">
          <reference field="4294967294" count="1" selected="0">
            <x v="0"/>
          </reference>
          <reference field="7" count="1" selected="0">
            <x v="1"/>
          </reference>
        </references>
      </pivotArea>
    </chartFormat>
    <chartFormat chart="7" format="9">
      <pivotArea type="data" outline="0" fieldPosition="0">
        <references count="2">
          <reference field="4294967294" count="1" selected="0">
            <x v="0"/>
          </reference>
          <reference field="7" count="1" selected="0">
            <x v="2"/>
          </reference>
        </references>
      </pivotArea>
    </chartFormat>
    <chartFormat chart="7"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10E905-5082-4BE0-A0B5-A41BAB431522}" name="PivotTable_Qunatity"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28:J50"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axis="axisCol"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7"/>
  </colFields>
  <colItems count="5">
    <i>
      <x/>
    </i>
    <i>
      <x v="1"/>
    </i>
    <i>
      <x v="2"/>
    </i>
    <i>
      <x v="3"/>
    </i>
    <i t="grand">
      <x/>
    </i>
  </colItems>
  <dataFields count="1">
    <dataField name="Sum of Quantity" fld="2" baseField="0" baseItem="0"/>
  </dataFields>
  <chartFormats count="24">
    <chartFormat chart="2" format="8" series="1">
      <pivotArea type="data" outline="0" fieldPosition="0">
        <references count="2">
          <reference field="4294967294" count="1" selected="0">
            <x v="0"/>
          </reference>
          <reference field="7" count="1" selected="0">
            <x v="0"/>
          </reference>
        </references>
      </pivotArea>
    </chartFormat>
    <chartFormat chart="2" format="9" series="1">
      <pivotArea type="data" outline="0" fieldPosition="0">
        <references count="2">
          <reference field="4294967294" count="1" selected="0">
            <x v="0"/>
          </reference>
          <reference field="7" count="1" selected="0">
            <x v="1"/>
          </reference>
        </references>
      </pivotArea>
    </chartFormat>
    <chartFormat chart="2" format="10" series="1">
      <pivotArea type="data" outline="0" fieldPosition="0">
        <references count="2">
          <reference field="4294967294" count="1" selected="0">
            <x v="0"/>
          </reference>
          <reference field="7" count="1" selected="0">
            <x v="2"/>
          </reference>
        </references>
      </pivotArea>
    </chartFormat>
    <chartFormat chart="2" format="11" series="1">
      <pivotArea type="data" outline="0" fieldPosition="0">
        <references count="2">
          <reference field="4294967294" count="1" selected="0">
            <x v="0"/>
          </reference>
          <reference field="7" count="1" selected="0">
            <x v="3"/>
          </reference>
        </references>
      </pivotArea>
    </chartFormat>
    <chartFormat chart="2" format="12" series="1">
      <pivotArea type="data" outline="0" fieldPosition="0">
        <references count="2">
          <reference field="4294967294" count="1" selected="0">
            <x v="0"/>
          </reference>
          <reference field="1" count="1" selected="0">
            <x v="1"/>
          </reference>
        </references>
      </pivotArea>
    </chartFormat>
    <chartFormat chart="2" format="13" series="1">
      <pivotArea type="data" outline="0" fieldPosition="0">
        <references count="2">
          <reference field="4294967294" count="1" selected="0">
            <x v="0"/>
          </reference>
          <reference field="1" count="1" selected="0">
            <x v="12"/>
          </reference>
        </references>
      </pivotArea>
    </chartFormat>
    <chartFormat chart="2" format="14" series="1">
      <pivotArea type="data" outline="0" fieldPosition="0">
        <references count="2">
          <reference field="4294967294" count="1" selected="0">
            <x v="0"/>
          </reference>
          <reference field="1" count="1" selected="0">
            <x v="14"/>
          </reference>
        </references>
      </pivotArea>
    </chartFormat>
    <chartFormat chart="2" format="15" series="1">
      <pivotArea type="data" outline="0" fieldPosition="0">
        <references count="2">
          <reference field="4294967294" count="1" selected="0">
            <x v="0"/>
          </reference>
          <reference field="1" count="1" selected="0">
            <x v="4"/>
          </reference>
        </references>
      </pivotArea>
    </chartFormat>
    <chartFormat chart="2" format="16" series="1">
      <pivotArea type="data" outline="0" fieldPosition="0">
        <references count="2">
          <reference field="4294967294" count="1" selected="0">
            <x v="0"/>
          </reference>
          <reference field="1" count="1" selected="0">
            <x v="5"/>
          </reference>
        </references>
      </pivotArea>
    </chartFormat>
    <chartFormat chart="2" format="17" series="1">
      <pivotArea type="data" outline="0" fieldPosition="0">
        <references count="2">
          <reference field="4294967294" count="1" selected="0">
            <x v="0"/>
          </reference>
          <reference field="1" count="1" selected="0">
            <x v="11"/>
          </reference>
        </references>
      </pivotArea>
    </chartFormat>
    <chartFormat chart="2" format="18" series="1">
      <pivotArea type="data" outline="0" fieldPosition="0">
        <references count="2">
          <reference field="4294967294" count="1" selected="0">
            <x v="0"/>
          </reference>
          <reference field="1" count="1" selected="0">
            <x v="3"/>
          </reference>
        </references>
      </pivotArea>
    </chartFormat>
    <chartFormat chart="2" format="19" series="1">
      <pivotArea type="data" outline="0" fieldPosition="0">
        <references count="2">
          <reference field="4294967294" count="1" selected="0">
            <x v="0"/>
          </reference>
          <reference field="1" count="1" selected="0">
            <x v="8"/>
          </reference>
        </references>
      </pivotArea>
    </chartFormat>
    <chartFormat chart="2" format="20" series="1">
      <pivotArea type="data" outline="0" fieldPosition="0">
        <references count="2">
          <reference field="4294967294" count="1" selected="0">
            <x v="0"/>
          </reference>
          <reference field="1" count="1" selected="0">
            <x v="2"/>
          </reference>
        </references>
      </pivotArea>
    </chartFormat>
    <chartFormat chart="2" format="21" series="1">
      <pivotArea type="data" outline="0" fieldPosition="0">
        <references count="2">
          <reference field="4294967294" count="1" selected="0">
            <x v="0"/>
          </reference>
          <reference field="1" count="1" selected="0">
            <x v="19"/>
          </reference>
        </references>
      </pivotArea>
    </chartFormat>
    <chartFormat chart="2" format="22" series="1">
      <pivotArea type="data" outline="0" fieldPosition="0">
        <references count="2">
          <reference field="4294967294" count="1" selected="0">
            <x v="0"/>
          </reference>
          <reference field="1" count="1" selected="0">
            <x v="10"/>
          </reference>
        </references>
      </pivotArea>
    </chartFormat>
    <chartFormat chart="2" format="23" series="1">
      <pivotArea type="data" outline="0" fieldPosition="0">
        <references count="2">
          <reference field="4294967294" count="1" selected="0">
            <x v="0"/>
          </reference>
          <reference field="1" count="1" selected="0">
            <x v="9"/>
          </reference>
        </references>
      </pivotArea>
    </chartFormat>
    <chartFormat chart="2" format="24" series="1">
      <pivotArea type="data" outline="0" fieldPosition="0">
        <references count="2">
          <reference field="4294967294" count="1" selected="0">
            <x v="0"/>
          </reference>
          <reference field="1" count="1" selected="0">
            <x v="15"/>
          </reference>
        </references>
      </pivotArea>
    </chartFormat>
    <chartFormat chart="2" format="25" series="1">
      <pivotArea type="data" outline="0" fieldPosition="0">
        <references count="2">
          <reference field="4294967294" count="1" selected="0">
            <x v="0"/>
          </reference>
          <reference field="1" count="1" selected="0">
            <x v="17"/>
          </reference>
        </references>
      </pivotArea>
    </chartFormat>
    <chartFormat chart="2" format="26" series="1">
      <pivotArea type="data" outline="0" fieldPosition="0">
        <references count="2">
          <reference field="4294967294" count="1" selected="0">
            <x v="0"/>
          </reference>
          <reference field="1" count="1" selected="0">
            <x v="0"/>
          </reference>
        </references>
      </pivotArea>
    </chartFormat>
    <chartFormat chart="2" format="27" series="1">
      <pivotArea type="data" outline="0" fieldPosition="0">
        <references count="2">
          <reference field="4294967294" count="1" selected="0">
            <x v="0"/>
          </reference>
          <reference field="1" count="1" selected="0">
            <x v="7"/>
          </reference>
        </references>
      </pivotArea>
    </chartFormat>
    <chartFormat chart="2" format="28" series="1">
      <pivotArea type="data" outline="0" fieldPosition="0">
        <references count="2">
          <reference field="4294967294" count="1" selected="0">
            <x v="0"/>
          </reference>
          <reference field="1" count="1" selected="0">
            <x v="18"/>
          </reference>
        </references>
      </pivotArea>
    </chartFormat>
    <chartFormat chart="2" format="29" series="1">
      <pivotArea type="data" outline="0" fieldPosition="0">
        <references count="2">
          <reference field="4294967294" count="1" selected="0">
            <x v="0"/>
          </reference>
          <reference field="1" count="1" selected="0">
            <x v="6"/>
          </reference>
        </references>
      </pivotArea>
    </chartFormat>
    <chartFormat chart="2" format="30" series="1">
      <pivotArea type="data" outline="0" fieldPosition="0">
        <references count="2">
          <reference field="4294967294" count="1" selected="0">
            <x v="0"/>
          </reference>
          <reference field="1" count="1" selected="0">
            <x v="13"/>
          </reference>
        </references>
      </pivotArea>
    </chartFormat>
    <chartFormat chart="2" format="31" series="1">
      <pivotArea type="data" outline="0" fieldPosition="0">
        <references count="2">
          <reference field="4294967294" count="1" selected="0">
            <x v="0"/>
          </reference>
          <reference field="1"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0197C6-52A7-4BDA-9781-FC4AEC83EE5A}" name="PivotTable_Transactions"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8:C36"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gt;11"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D26541-AF31-4D83-9B8A-8F941ACB329F}" name="PivotTable_Trends"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10:D24"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dataFields>
  <formats count="2">
    <format dxfId="1">
      <pivotArea collapsedLevelsAreSubtotals="1" fieldPosition="0">
        <references count="2">
          <reference field="4294967294" count="1" selected="0">
            <x v="1"/>
          </reference>
          <reference field="13" count="1">
            <x v="0"/>
          </reference>
        </references>
      </pivotArea>
    </format>
    <format dxfId="0">
      <pivotArea collapsedLevelsAreSubtotals="1" fieldPosition="0">
        <references count="2">
          <reference field="4294967294" count="1" selected="0">
            <x v="1"/>
          </reference>
          <reference field="13" count="12">
            <x v="1"/>
            <x v="2"/>
            <x v="3"/>
            <x v="4"/>
            <x v="5"/>
            <x v="6"/>
            <x v="7"/>
            <x v="8"/>
            <x v="9"/>
            <x v="10"/>
            <x v="11"/>
            <x v="12"/>
          </reference>
        </references>
      </pivotArea>
    </format>
  </format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9BB81F-AB24-4538-87E7-EB0F7DAD036F}" name="PivotTable_Summary"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dataField="1"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6">
    <i>
      <x/>
    </i>
    <i i="1">
      <x v="1"/>
    </i>
    <i i="2">
      <x v="2"/>
    </i>
    <i i="3">
      <x v="3"/>
    </i>
    <i i="4">
      <x v="4"/>
    </i>
    <i i="5">
      <x v="5"/>
    </i>
  </colItems>
  <dataFields count="6">
    <dataField name="Count of TX ID" fld="0" subtotal="count" baseField="0" baseItem="0"/>
    <dataField name="Sum of Amount" fld="4" baseField="0" baseItem="0"/>
    <dataField name="Sum of Quantity" fld="2" baseField="0" baseItem="0"/>
    <dataField name="Average of Rating C" fld="9" subtotal="average" baseField="0" baseItem="3"/>
    <dataField name="Average of Unit Price" fld="3" subtotal="average" baseField="0" baseItem="4"/>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FF1238-170C-4F25-9778-8B8411182A93}" name="PivotTable_Ordermode"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F479BF-4082-4897-8659-39C022D99CD1}" name="PivotTable_Customerrating"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3:K8"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8">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13" series="1">
      <pivotArea type="data" outline="0" fieldPosition="0">
        <references count="2">
          <reference field="4294967294" count="1" selected="0">
            <x v="0"/>
          </reference>
          <reference field="9" count="1" selected="0">
            <x v="0"/>
          </reference>
        </references>
      </pivotArea>
    </chartFormat>
    <chartFormat chart="8" format="14" series="1">
      <pivotArea type="data" outline="0" fieldPosition="0">
        <references count="2">
          <reference field="4294967294" count="1" selected="0">
            <x v="0"/>
          </reference>
          <reference field="9" count="1" selected="0">
            <x v="1"/>
          </reference>
        </references>
      </pivotArea>
    </chartFormat>
    <chartFormat chart="8" format="15" series="1">
      <pivotArea type="data" outline="0" fieldPosition="0">
        <references count="2">
          <reference field="4294967294" count="1" selected="0">
            <x v="0"/>
          </reference>
          <reference field="9" count="1" selected="0">
            <x v="2"/>
          </reference>
        </references>
      </pivotArea>
    </chartFormat>
    <chartFormat chart="8" format="16" series="1">
      <pivotArea type="data" outline="0" fieldPosition="0">
        <references count="2">
          <reference field="4294967294" count="1" selected="0">
            <x v="0"/>
          </reference>
          <reference field="9" count="1" selected="0">
            <x v="3"/>
          </reference>
        </references>
      </pivotArea>
    </chartFormat>
    <chartFormat chart="8"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8F5F6D-2156-4EFE-89BD-1182012A67FC}" name="PivotTable_Daystodeliver"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9"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05EB15CA-67EA-4AF6-9FB5-905A5546B59F}" sourceName="Order Mode">
  <pivotTables>
    <pivotTable tabId="8" name="PivotTable_Customerrating"/>
    <pivotTable tabId="3" name="PivotTable_Qunatity"/>
    <pivotTable tabId="3" name="PivotTable_Summary"/>
    <pivotTable tabId="3" name="PivotTable_Transactions"/>
    <pivotTable tabId="3" name="PivotTable_Trends"/>
    <pivotTable tabId="3" name="PivotTable5"/>
    <pivotTable tabId="3" name="PivotTable6"/>
    <pivotTable tabId="8" name="PivotTable_Daystodeliver"/>
  </pivotTables>
  <data>
    <tabular pivotCacheId="415108650">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6019F84D-1C07-4EDB-9B34-67BF7BEFE6FA}" sourceName="Gender Value">
  <pivotTables>
    <pivotTable tabId="8" name="PivotTable_Customerrating"/>
    <pivotTable tabId="7" name="PivotTable_Ordermode"/>
    <pivotTable tabId="3" name="PivotTable_Qunatity"/>
    <pivotTable tabId="3" name="PivotTable_Summary"/>
    <pivotTable tabId="3" name="PivotTable_Transactions"/>
    <pivotTable tabId="3" name="PivotTable_Trends"/>
    <pivotTable tabId="3" name="PivotTable5"/>
    <pivotTable tabId="3" name="PivotTable6"/>
    <pivotTable tabId="8" name="PivotTable_Daystodeliver"/>
  </pivotTables>
  <data>
    <tabular pivotCacheId="415108650">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2AA7A370-734C-4B58-916F-FE03FA9A706E}" cache="Slicer_Order_Mode" caption="Order Mode" rowHeight="234950"/>
  <slicer name="Gender Value 1" xr10:uid="{DBB16080-F47C-4A22-98BB-D60F7B5A35E2}" cache="Slicer_Gender_Value" caption="Gender Valu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3FCE28-E436-41CC-B893-553AD97F62E2}" name="orders" displayName="orders" ref="A1:O2401" totalsRowShown="0">
  <tableColumns count="15">
    <tableColumn id="1" xr3:uid="{AFF1DA01-9F17-49C0-9938-377501413E8A}" name="TX ID"/>
    <tableColumn id="2" xr3:uid="{BDE9E173-789A-403A-A8F2-5B13897E1CD3}" name="Product"/>
    <tableColumn id="3" xr3:uid="{3B977249-A5FB-43E4-B71A-AE7A9970501E}" name="Quantity"/>
    <tableColumn id="4" xr3:uid="{FFF8FECD-AD99-4FD4-9877-394F116FFB2C}" name="Unit Price"/>
    <tableColumn id="5" xr3:uid="{0DCF5C4C-6B79-41B3-BE0B-682D5DACE112}" name="Amount"/>
    <tableColumn id="6" xr3:uid="{3D875995-EB8D-478C-87A9-D0265A58B5D2}" name="Order Date" dataDxfId="6"/>
    <tableColumn id="7" xr3:uid="{2CC2320E-5159-4DCC-9D17-D12E7F1DBE69}" name="Ship Date" dataDxfId="5"/>
    <tableColumn id="8" xr3:uid="{86D8024B-A8A4-4931-AFD0-6170BB0498A0}" name="Customer Gender"/>
    <tableColumn id="9" xr3:uid="{76A76BCF-7004-411A-B900-F9AC04B4C053}" name="Order Mode"/>
    <tableColumn id="10" xr3:uid="{0EE1398D-91F7-492A-972F-85AC1BA28416}" name="Rating C"/>
    <tableColumn id="15" xr3:uid="{E9D7EE87-9121-4165-86A5-726F0718FCA0}" name="State"/>
    <tableColumn id="14" xr3:uid="{E1D9DFBA-7441-4D39-8466-C0609E223AE3}" name="County"/>
    <tableColumn id="11" xr3:uid="{18ED757B-AB38-47BD-880A-5528C2224D81}" name="Days to Deliver" dataDxfId="4">
      <calculatedColumnFormula>orders[[#This Row],[Ship Date]]-orders[[#This Row],[Order Date]]</calculatedColumnFormula>
    </tableColumn>
    <tableColumn id="12" xr3:uid="{F728EC98-7BA3-4379-9A99-AA8C3CDDCEF5}" name="Weeknum" dataDxfId="3">
      <calculatedColumnFormula>WEEKNUM(orders[[#This Row],[Order Date]])</calculatedColumnFormula>
    </tableColumn>
    <tableColumn id="13" xr3:uid="{82A6B15F-EC8D-4B62-BE21-936391E60E5C}" name="Gender Value" dataDxfId="2">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401"/>
  <sheetViews>
    <sheetView showGridLines="0" workbookViewId="0">
      <selection activeCell="T14" sqref="T14"/>
    </sheetView>
  </sheetViews>
  <sheetFormatPr defaultRowHeight="14.4" x14ac:dyDescent="0.3"/>
  <cols>
    <col min="9" max="9" width="11.21875" bestFit="1" customWidth="1"/>
    <col min="10" max="10" width="7.6640625" customWidth="1"/>
    <col min="12" max="12" width="20" bestFit="1" customWidth="1"/>
    <col min="13" max="13" width="13.5546875" bestFit="1" customWidth="1"/>
    <col min="14" max="14" width="9.6640625" bestFit="1" customWidth="1"/>
    <col min="15" max="15" width="12.33203125" bestFit="1" customWidth="1"/>
  </cols>
  <sheetData>
    <row r="1" spans="1:15" x14ac:dyDescent="0.3">
      <c r="A1" t="s">
        <v>2488</v>
      </c>
      <c r="B1" t="s">
        <v>2489</v>
      </c>
      <c r="C1" t="s">
        <v>2490</v>
      </c>
      <c r="D1" t="s">
        <v>2491</v>
      </c>
      <c r="E1" t="s">
        <v>2492</v>
      </c>
      <c r="F1" t="s">
        <v>2493</v>
      </c>
      <c r="G1" t="s">
        <v>2494</v>
      </c>
      <c r="H1" t="s">
        <v>2495</v>
      </c>
      <c r="I1" t="s">
        <v>2496</v>
      </c>
      <c r="J1" t="s">
        <v>2497</v>
      </c>
      <c r="K1" t="s">
        <v>2498</v>
      </c>
      <c r="L1" t="s">
        <v>2499</v>
      </c>
      <c r="M1" s="2" t="s">
        <v>2500</v>
      </c>
      <c r="N1" s="2" t="s">
        <v>2501</v>
      </c>
      <c r="O1" s="2" t="s">
        <v>2502</v>
      </c>
    </row>
    <row r="2" spans="1:15" x14ac:dyDescent="0.3">
      <c r="A2" t="s">
        <v>0</v>
      </c>
      <c r="B2" t="s">
        <v>1</v>
      </c>
      <c r="C2">
        <v>1</v>
      </c>
      <c r="D2">
        <v>10.9</v>
      </c>
      <c r="E2">
        <v>10.9</v>
      </c>
      <c r="F2" s="1">
        <v>45658</v>
      </c>
      <c r="G2" s="1">
        <v>45663</v>
      </c>
      <c r="H2" t="s">
        <v>2</v>
      </c>
      <c r="I2" t="s">
        <v>3</v>
      </c>
      <c r="J2">
        <v>4</v>
      </c>
      <c r="K2" t="s">
        <v>4</v>
      </c>
      <c r="L2" t="s">
        <v>5</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6</v>
      </c>
      <c r="B3" t="s">
        <v>7</v>
      </c>
      <c r="C3">
        <v>2</v>
      </c>
      <c r="D3">
        <v>30.6</v>
      </c>
      <c r="E3">
        <v>61.2</v>
      </c>
      <c r="F3" s="1">
        <v>45658</v>
      </c>
      <c r="G3" s="1">
        <v>45660</v>
      </c>
      <c r="H3" t="s">
        <v>8</v>
      </c>
      <c r="I3" t="s">
        <v>3</v>
      </c>
      <c r="J3">
        <v>4</v>
      </c>
      <c r="K3" t="s">
        <v>4</v>
      </c>
      <c r="L3" t="s">
        <v>9</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10</v>
      </c>
      <c r="B4" t="s">
        <v>11</v>
      </c>
      <c r="C4">
        <v>3</v>
      </c>
      <c r="D4">
        <v>109.4</v>
      </c>
      <c r="E4">
        <v>328.20000000000005</v>
      </c>
      <c r="F4" s="1">
        <v>45658</v>
      </c>
      <c r="G4" s="1">
        <v>45661</v>
      </c>
      <c r="H4" t="s">
        <v>12</v>
      </c>
      <c r="I4" t="s">
        <v>3</v>
      </c>
      <c r="J4">
        <v>3</v>
      </c>
      <c r="K4" t="s">
        <v>4</v>
      </c>
      <c r="L4" t="s">
        <v>13</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14</v>
      </c>
      <c r="B5" t="s">
        <v>15</v>
      </c>
      <c r="C5">
        <v>7</v>
      </c>
      <c r="D5">
        <v>37.700000000000003</v>
      </c>
      <c r="E5">
        <v>263.90000000000003</v>
      </c>
      <c r="F5" s="1">
        <v>45658</v>
      </c>
      <c r="G5" s="1">
        <v>45659</v>
      </c>
      <c r="H5" t="s">
        <v>12</v>
      </c>
      <c r="I5" t="s">
        <v>3</v>
      </c>
      <c r="J5">
        <v>4</v>
      </c>
      <c r="K5" t="s">
        <v>4</v>
      </c>
      <c r="L5" t="s">
        <v>13</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16</v>
      </c>
      <c r="B6" t="s">
        <v>17</v>
      </c>
      <c r="C6">
        <v>3</v>
      </c>
      <c r="D6">
        <v>56.7</v>
      </c>
      <c r="E6">
        <v>170.10000000000002</v>
      </c>
      <c r="F6" s="1">
        <v>45658</v>
      </c>
      <c r="G6" s="1">
        <v>45661</v>
      </c>
      <c r="H6" t="s">
        <v>12</v>
      </c>
      <c r="I6" t="s">
        <v>3</v>
      </c>
      <c r="J6">
        <v>5</v>
      </c>
      <c r="K6" t="s">
        <v>4</v>
      </c>
      <c r="L6" t="s">
        <v>18</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19</v>
      </c>
      <c r="B7" t="s">
        <v>7</v>
      </c>
      <c r="C7">
        <v>12</v>
      </c>
      <c r="D7">
        <v>83.5</v>
      </c>
      <c r="E7">
        <v>1002</v>
      </c>
      <c r="F7" s="1">
        <v>45658</v>
      </c>
      <c r="G7" s="1">
        <v>45661</v>
      </c>
      <c r="H7" t="s">
        <v>8</v>
      </c>
      <c r="I7" t="s">
        <v>20</v>
      </c>
      <c r="J7">
        <v>4</v>
      </c>
      <c r="K7" t="s">
        <v>4</v>
      </c>
      <c r="L7" t="s">
        <v>18</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21</v>
      </c>
      <c r="B8" t="s">
        <v>22</v>
      </c>
      <c r="C8">
        <v>1</v>
      </c>
      <c r="D8">
        <v>55.3</v>
      </c>
      <c r="E8">
        <v>55.3</v>
      </c>
      <c r="F8" s="1">
        <v>45658</v>
      </c>
      <c r="G8" s="1">
        <v>45659</v>
      </c>
      <c r="H8" t="s">
        <v>12</v>
      </c>
      <c r="I8" t="s">
        <v>3</v>
      </c>
      <c r="J8">
        <v>4</v>
      </c>
      <c r="K8" t="s">
        <v>4</v>
      </c>
      <c r="L8" t="s">
        <v>18</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23</v>
      </c>
      <c r="B9" t="s">
        <v>24</v>
      </c>
      <c r="C9">
        <v>2</v>
      </c>
      <c r="D9">
        <v>40.299999999999997</v>
      </c>
      <c r="E9">
        <v>80.599999999999994</v>
      </c>
      <c r="F9" s="1">
        <v>45658</v>
      </c>
      <c r="G9" s="1">
        <v>45659</v>
      </c>
      <c r="H9" t="s">
        <v>8</v>
      </c>
      <c r="I9" t="s">
        <v>25</v>
      </c>
      <c r="J9">
        <v>5</v>
      </c>
      <c r="K9" t="s">
        <v>4</v>
      </c>
      <c r="L9" t="s">
        <v>18</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26</v>
      </c>
      <c r="B10" t="s">
        <v>27</v>
      </c>
      <c r="C10">
        <v>11</v>
      </c>
      <c r="D10">
        <v>35.700000000000003</v>
      </c>
      <c r="E10">
        <v>392.70000000000005</v>
      </c>
      <c r="F10" s="1">
        <v>45658</v>
      </c>
      <c r="G10" s="1">
        <v>45659</v>
      </c>
      <c r="H10" t="s">
        <v>12</v>
      </c>
      <c r="I10" t="s">
        <v>3</v>
      </c>
      <c r="J10">
        <v>4</v>
      </c>
      <c r="K10" t="s">
        <v>4</v>
      </c>
      <c r="L10" t="s">
        <v>18</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28</v>
      </c>
      <c r="B11" t="s">
        <v>29</v>
      </c>
      <c r="C11">
        <v>7</v>
      </c>
      <c r="D11">
        <v>22.4</v>
      </c>
      <c r="E11">
        <v>156.79999999999998</v>
      </c>
      <c r="F11" s="1">
        <v>45658</v>
      </c>
      <c r="G11" s="1">
        <v>45661</v>
      </c>
      <c r="H11" t="s">
        <v>8</v>
      </c>
      <c r="I11" t="s">
        <v>3</v>
      </c>
      <c r="J11">
        <v>3</v>
      </c>
      <c r="K11" t="s">
        <v>4</v>
      </c>
      <c r="L11" t="s">
        <v>18</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30</v>
      </c>
      <c r="B12" t="s">
        <v>31</v>
      </c>
      <c r="C12">
        <v>2</v>
      </c>
      <c r="D12">
        <v>54.4</v>
      </c>
      <c r="E12">
        <v>108.8</v>
      </c>
      <c r="F12" s="1">
        <v>45658</v>
      </c>
      <c r="G12" s="1">
        <v>45664</v>
      </c>
      <c r="H12" t="s">
        <v>12</v>
      </c>
      <c r="I12" t="s">
        <v>3</v>
      </c>
      <c r="J12">
        <v>4</v>
      </c>
      <c r="K12" t="s">
        <v>4</v>
      </c>
      <c r="L12" t="s">
        <v>18</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32</v>
      </c>
      <c r="B13" t="s">
        <v>31</v>
      </c>
      <c r="C13">
        <v>2</v>
      </c>
      <c r="D13">
        <v>49</v>
      </c>
      <c r="E13">
        <v>98</v>
      </c>
      <c r="F13" s="1">
        <v>45658</v>
      </c>
      <c r="G13" s="1">
        <v>45660</v>
      </c>
      <c r="H13" t="s">
        <v>12</v>
      </c>
      <c r="I13" t="s">
        <v>25</v>
      </c>
      <c r="J13">
        <v>3</v>
      </c>
      <c r="K13" t="s">
        <v>4</v>
      </c>
      <c r="L13" t="s">
        <v>18</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33</v>
      </c>
      <c r="B14" t="s">
        <v>22</v>
      </c>
      <c r="C14">
        <v>7</v>
      </c>
      <c r="D14">
        <v>118.6</v>
      </c>
      <c r="E14">
        <v>830.19999999999993</v>
      </c>
      <c r="F14" s="1">
        <v>45658</v>
      </c>
      <c r="G14" s="1">
        <v>45662</v>
      </c>
      <c r="H14" t="s">
        <v>12</v>
      </c>
      <c r="I14" t="s">
        <v>20</v>
      </c>
      <c r="J14">
        <v>4</v>
      </c>
      <c r="K14" t="s">
        <v>4</v>
      </c>
      <c r="L14" t="s">
        <v>34</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35</v>
      </c>
      <c r="B15" t="s">
        <v>24</v>
      </c>
      <c r="C15">
        <v>27</v>
      </c>
      <c r="D15">
        <v>88.4</v>
      </c>
      <c r="E15">
        <v>2386.8000000000002</v>
      </c>
      <c r="F15" s="1">
        <v>45658</v>
      </c>
      <c r="G15" s="1">
        <v>45665</v>
      </c>
      <c r="H15" t="s">
        <v>8</v>
      </c>
      <c r="I15" t="s">
        <v>36</v>
      </c>
      <c r="J15">
        <v>4</v>
      </c>
      <c r="K15" t="s">
        <v>4</v>
      </c>
      <c r="L15" t="s">
        <v>37</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38</v>
      </c>
      <c r="B16" t="s">
        <v>39</v>
      </c>
      <c r="C16">
        <v>1</v>
      </c>
      <c r="D16">
        <v>66.7</v>
      </c>
      <c r="E16">
        <v>66.7</v>
      </c>
      <c r="F16" s="1">
        <v>45658</v>
      </c>
      <c r="G16" s="1">
        <v>45661</v>
      </c>
      <c r="H16" t="s">
        <v>8</v>
      </c>
      <c r="I16" t="s">
        <v>3</v>
      </c>
      <c r="J16">
        <v>4</v>
      </c>
      <c r="K16" t="s">
        <v>4</v>
      </c>
      <c r="L16" t="s">
        <v>40</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41</v>
      </c>
      <c r="B17" t="s">
        <v>31</v>
      </c>
      <c r="C17">
        <v>10</v>
      </c>
      <c r="D17">
        <v>30.9</v>
      </c>
      <c r="E17">
        <v>309</v>
      </c>
      <c r="F17" s="1">
        <v>45658</v>
      </c>
      <c r="G17" s="1">
        <v>45659</v>
      </c>
      <c r="H17" t="s">
        <v>8</v>
      </c>
      <c r="I17" t="s">
        <v>20</v>
      </c>
      <c r="J17">
        <v>5</v>
      </c>
      <c r="K17" t="s">
        <v>4</v>
      </c>
      <c r="L17" t="s">
        <v>40</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42</v>
      </c>
      <c r="B18" t="s">
        <v>17</v>
      </c>
      <c r="C18">
        <v>3</v>
      </c>
      <c r="D18">
        <v>31.1</v>
      </c>
      <c r="E18">
        <v>93.300000000000011</v>
      </c>
      <c r="F18" s="1">
        <v>45658</v>
      </c>
      <c r="G18" s="1">
        <v>45659</v>
      </c>
      <c r="H18" t="s">
        <v>12</v>
      </c>
      <c r="I18" t="s">
        <v>3</v>
      </c>
      <c r="J18">
        <v>3</v>
      </c>
      <c r="K18" t="s">
        <v>4</v>
      </c>
      <c r="L18" t="s">
        <v>40</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43</v>
      </c>
      <c r="B19" t="s">
        <v>27</v>
      </c>
      <c r="C19">
        <v>3</v>
      </c>
      <c r="D19">
        <v>36.6</v>
      </c>
      <c r="E19">
        <v>109.80000000000001</v>
      </c>
      <c r="F19" s="1">
        <v>45658</v>
      </c>
      <c r="G19" s="1">
        <v>45661</v>
      </c>
      <c r="H19" t="s">
        <v>12</v>
      </c>
      <c r="I19" t="s">
        <v>3</v>
      </c>
      <c r="J19">
        <v>4</v>
      </c>
      <c r="K19" t="s">
        <v>4</v>
      </c>
      <c r="L19" t="s">
        <v>44</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45</v>
      </c>
      <c r="B20" t="s">
        <v>24</v>
      </c>
      <c r="C20">
        <v>8</v>
      </c>
      <c r="D20">
        <v>51.1</v>
      </c>
      <c r="E20">
        <v>408.8</v>
      </c>
      <c r="F20" s="1">
        <v>45658</v>
      </c>
      <c r="G20" s="1">
        <v>45661</v>
      </c>
      <c r="H20" t="s">
        <v>12</v>
      </c>
      <c r="I20" t="s">
        <v>25</v>
      </c>
      <c r="J20">
        <v>1</v>
      </c>
      <c r="K20" t="s">
        <v>4</v>
      </c>
      <c r="L20" t="s">
        <v>44</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46</v>
      </c>
      <c r="B21" t="s">
        <v>31</v>
      </c>
      <c r="C21">
        <v>1</v>
      </c>
      <c r="D21">
        <v>25.2</v>
      </c>
      <c r="E21">
        <v>25.2</v>
      </c>
      <c r="F21" s="1">
        <v>45658</v>
      </c>
      <c r="G21" s="1">
        <v>45659</v>
      </c>
      <c r="H21" t="s">
        <v>12</v>
      </c>
      <c r="I21" t="s">
        <v>20</v>
      </c>
      <c r="J21">
        <v>5</v>
      </c>
      <c r="K21" t="s">
        <v>4</v>
      </c>
      <c r="L21" t="s">
        <v>47</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48</v>
      </c>
      <c r="B22" t="s">
        <v>31</v>
      </c>
      <c r="C22">
        <v>5</v>
      </c>
      <c r="D22">
        <v>43.8</v>
      </c>
      <c r="E22">
        <v>219</v>
      </c>
      <c r="F22" s="1">
        <v>45658</v>
      </c>
      <c r="G22" s="1">
        <v>45661</v>
      </c>
      <c r="H22" t="s">
        <v>12</v>
      </c>
      <c r="I22" t="s">
        <v>25</v>
      </c>
      <c r="J22">
        <v>4</v>
      </c>
      <c r="K22" t="s">
        <v>4</v>
      </c>
      <c r="L22" t="s">
        <v>47</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49</v>
      </c>
      <c r="B23" t="s">
        <v>29</v>
      </c>
      <c r="C23">
        <v>12</v>
      </c>
      <c r="D23">
        <v>46.7</v>
      </c>
      <c r="E23">
        <v>560.40000000000009</v>
      </c>
      <c r="F23" s="1">
        <v>45658</v>
      </c>
      <c r="G23" s="1">
        <v>45659</v>
      </c>
      <c r="H23" t="s">
        <v>12</v>
      </c>
      <c r="I23" t="s">
        <v>20</v>
      </c>
      <c r="J23">
        <v>3</v>
      </c>
      <c r="K23" t="s">
        <v>4</v>
      </c>
      <c r="L23" t="s">
        <v>47</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50</v>
      </c>
      <c r="B24" t="s">
        <v>15</v>
      </c>
      <c r="C24">
        <v>19</v>
      </c>
      <c r="D24">
        <v>79.900000000000006</v>
      </c>
      <c r="E24">
        <v>1518.1000000000001</v>
      </c>
      <c r="F24" s="1">
        <v>45658</v>
      </c>
      <c r="G24" s="1">
        <v>45659</v>
      </c>
      <c r="H24" t="s">
        <v>8</v>
      </c>
      <c r="I24" t="s">
        <v>3</v>
      </c>
      <c r="J24">
        <v>5</v>
      </c>
      <c r="K24" t="s">
        <v>4</v>
      </c>
      <c r="L24" t="s">
        <v>47</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51</v>
      </c>
      <c r="B25" t="s">
        <v>52</v>
      </c>
      <c r="C25">
        <v>8</v>
      </c>
      <c r="D25">
        <v>26.4</v>
      </c>
      <c r="E25">
        <v>211.2</v>
      </c>
      <c r="F25" s="1">
        <v>45658</v>
      </c>
      <c r="G25" s="1">
        <v>45659</v>
      </c>
      <c r="H25" t="s">
        <v>12</v>
      </c>
      <c r="I25" t="s">
        <v>36</v>
      </c>
      <c r="J25">
        <v>4</v>
      </c>
      <c r="K25" t="s">
        <v>4</v>
      </c>
      <c r="L25" t="s">
        <v>47</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53</v>
      </c>
      <c r="B26" t="s">
        <v>54</v>
      </c>
      <c r="C26">
        <v>8</v>
      </c>
      <c r="D26">
        <v>88.8</v>
      </c>
      <c r="E26">
        <v>710.4</v>
      </c>
      <c r="F26" s="1">
        <v>45658</v>
      </c>
      <c r="G26" s="1">
        <v>45659</v>
      </c>
      <c r="H26" t="s">
        <v>12</v>
      </c>
      <c r="I26" t="s">
        <v>55</v>
      </c>
      <c r="J26">
        <v>4</v>
      </c>
      <c r="K26" t="s">
        <v>4</v>
      </c>
      <c r="L26" t="s">
        <v>47</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56</v>
      </c>
      <c r="B27" t="s">
        <v>1</v>
      </c>
      <c r="C27">
        <v>10</v>
      </c>
      <c r="D27">
        <v>17.5</v>
      </c>
      <c r="E27">
        <v>175</v>
      </c>
      <c r="F27" s="1">
        <v>45658</v>
      </c>
      <c r="G27" s="1">
        <v>45659</v>
      </c>
      <c r="H27" t="s">
        <v>12</v>
      </c>
      <c r="I27" t="s">
        <v>25</v>
      </c>
      <c r="J27">
        <v>4</v>
      </c>
      <c r="K27" t="s">
        <v>4</v>
      </c>
      <c r="L27" t="s">
        <v>57</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58</v>
      </c>
      <c r="B28" t="s">
        <v>7</v>
      </c>
      <c r="C28">
        <v>9</v>
      </c>
      <c r="D28">
        <v>38.700000000000003</v>
      </c>
      <c r="E28">
        <v>348.3</v>
      </c>
      <c r="F28" s="1">
        <v>45658</v>
      </c>
      <c r="G28" s="1">
        <v>45661</v>
      </c>
      <c r="H28" t="s">
        <v>8</v>
      </c>
      <c r="I28" t="s">
        <v>20</v>
      </c>
      <c r="J28">
        <v>4</v>
      </c>
      <c r="K28" t="s">
        <v>4</v>
      </c>
      <c r="L28" t="s">
        <v>59</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60</v>
      </c>
      <c r="B29" t="s">
        <v>61</v>
      </c>
      <c r="C29">
        <v>4</v>
      </c>
      <c r="D29">
        <v>57.2</v>
      </c>
      <c r="E29">
        <v>228.8</v>
      </c>
      <c r="F29" s="1">
        <v>45658</v>
      </c>
      <c r="G29" s="1">
        <v>45660</v>
      </c>
      <c r="H29" t="s">
        <v>2</v>
      </c>
      <c r="I29" t="s">
        <v>20</v>
      </c>
      <c r="J29">
        <v>5</v>
      </c>
      <c r="K29" t="s">
        <v>4</v>
      </c>
      <c r="L29" t="s">
        <v>62</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63</v>
      </c>
      <c r="B30" t="s">
        <v>24</v>
      </c>
      <c r="C30">
        <v>5</v>
      </c>
      <c r="D30">
        <v>50.9</v>
      </c>
      <c r="E30">
        <v>254.5</v>
      </c>
      <c r="F30" s="1">
        <v>45658</v>
      </c>
      <c r="G30" s="1">
        <v>45664</v>
      </c>
      <c r="H30" t="s">
        <v>2</v>
      </c>
      <c r="I30" t="s">
        <v>20</v>
      </c>
      <c r="J30">
        <v>5</v>
      </c>
      <c r="K30" t="s">
        <v>4</v>
      </c>
      <c r="L30" t="s">
        <v>64</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65</v>
      </c>
      <c r="B31" t="s">
        <v>66</v>
      </c>
      <c r="C31">
        <v>7</v>
      </c>
      <c r="D31">
        <v>41</v>
      </c>
      <c r="E31">
        <v>287</v>
      </c>
      <c r="F31" s="1">
        <v>45658</v>
      </c>
      <c r="G31" s="1">
        <v>45662</v>
      </c>
      <c r="H31" t="s">
        <v>12</v>
      </c>
      <c r="I31" t="s">
        <v>20</v>
      </c>
      <c r="J31">
        <v>4</v>
      </c>
      <c r="K31" t="s">
        <v>4</v>
      </c>
      <c r="L31" t="s">
        <v>67</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68</v>
      </c>
      <c r="B32" t="s">
        <v>29</v>
      </c>
      <c r="C32">
        <v>7</v>
      </c>
      <c r="D32">
        <v>19.100000000000001</v>
      </c>
      <c r="E32">
        <v>133.70000000000002</v>
      </c>
      <c r="F32" s="1">
        <v>45658</v>
      </c>
      <c r="G32" s="1">
        <v>45662</v>
      </c>
      <c r="H32" t="s">
        <v>8</v>
      </c>
      <c r="I32" t="s">
        <v>3</v>
      </c>
      <c r="J32">
        <v>5</v>
      </c>
      <c r="K32" t="s">
        <v>4</v>
      </c>
      <c r="L32" t="s">
        <v>69</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70</v>
      </c>
      <c r="B33" t="s">
        <v>11</v>
      </c>
      <c r="C33">
        <v>5</v>
      </c>
      <c r="D33">
        <v>166.1</v>
      </c>
      <c r="E33">
        <v>830.5</v>
      </c>
      <c r="F33" s="1">
        <v>45658</v>
      </c>
      <c r="G33" s="1">
        <v>45661</v>
      </c>
      <c r="H33" t="s">
        <v>8</v>
      </c>
      <c r="I33" t="s">
        <v>3</v>
      </c>
      <c r="J33">
        <v>4</v>
      </c>
      <c r="K33" t="s">
        <v>4</v>
      </c>
      <c r="L33" t="s">
        <v>71</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72</v>
      </c>
      <c r="B34" t="s">
        <v>17</v>
      </c>
      <c r="C34">
        <v>3</v>
      </c>
      <c r="D34">
        <v>29.9</v>
      </c>
      <c r="E34">
        <v>89.699999999999989</v>
      </c>
      <c r="F34" s="1">
        <v>45658</v>
      </c>
      <c r="G34" s="1">
        <v>45659</v>
      </c>
      <c r="H34" t="s">
        <v>8</v>
      </c>
      <c r="I34" t="s">
        <v>36</v>
      </c>
      <c r="J34">
        <v>4</v>
      </c>
      <c r="K34" t="s">
        <v>4</v>
      </c>
      <c r="L34" t="s">
        <v>18</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73</v>
      </c>
      <c r="B35" t="s">
        <v>39</v>
      </c>
      <c r="C35">
        <v>6</v>
      </c>
      <c r="D35">
        <v>21.7</v>
      </c>
      <c r="E35">
        <v>130.19999999999999</v>
      </c>
      <c r="F35" s="1">
        <v>45658</v>
      </c>
      <c r="G35" s="1">
        <v>45660</v>
      </c>
      <c r="H35" t="s">
        <v>74</v>
      </c>
      <c r="I35" t="s">
        <v>25</v>
      </c>
      <c r="J35">
        <v>5</v>
      </c>
      <c r="K35" t="s">
        <v>4</v>
      </c>
      <c r="L35" t="s">
        <v>18</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75</v>
      </c>
      <c r="B36" t="s">
        <v>52</v>
      </c>
      <c r="C36">
        <v>2</v>
      </c>
      <c r="D36">
        <v>32</v>
      </c>
      <c r="E36">
        <v>64</v>
      </c>
      <c r="F36" s="1">
        <v>45658</v>
      </c>
      <c r="G36" s="1">
        <v>45661</v>
      </c>
      <c r="H36" t="s">
        <v>8</v>
      </c>
      <c r="I36" t="s">
        <v>3</v>
      </c>
      <c r="J36">
        <v>5</v>
      </c>
      <c r="K36" t="s">
        <v>4</v>
      </c>
      <c r="L36" t="s">
        <v>18</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76</v>
      </c>
      <c r="B37" t="s">
        <v>29</v>
      </c>
      <c r="C37">
        <v>2</v>
      </c>
      <c r="D37">
        <v>15.8</v>
      </c>
      <c r="E37">
        <v>31.6</v>
      </c>
      <c r="F37" s="1">
        <v>45658</v>
      </c>
      <c r="G37" s="1">
        <v>45659</v>
      </c>
      <c r="H37" t="s">
        <v>8</v>
      </c>
      <c r="I37" t="s">
        <v>55</v>
      </c>
      <c r="J37">
        <v>5</v>
      </c>
      <c r="K37" t="s">
        <v>4</v>
      </c>
      <c r="L37" t="s">
        <v>18</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77</v>
      </c>
      <c r="B38" t="s">
        <v>11</v>
      </c>
      <c r="C38">
        <v>17</v>
      </c>
      <c r="D38">
        <v>203.1</v>
      </c>
      <c r="E38">
        <v>3452.7</v>
      </c>
      <c r="F38" s="1">
        <v>45658</v>
      </c>
      <c r="G38" s="1">
        <v>45662</v>
      </c>
      <c r="H38" t="s">
        <v>8</v>
      </c>
      <c r="I38" t="s">
        <v>36</v>
      </c>
      <c r="J38">
        <v>3</v>
      </c>
      <c r="K38" t="s">
        <v>4</v>
      </c>
      <c r="L38" t="s">
        <v>18</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78</v>
      </c>
      <c r="B39" t="s">
        <v>27</v>
      </c>
      <c r="C39">
        <v>13</v>
      </c>
      <c r="D39">
        <v>39</v>
      </c>
      <c r="E39">
        <v>507</v>
      </c>
      <c r="F39" s="1">
        <v>45658</v>
      </c>
      <c r="G39" s="1">
        <v>45664</v>
      </c>
      <c r="H39" t="s">
        <v>8</v>
      </c>
      <c r="I39" t="s">
        <v>3</v>
      </c>
      <c r="J39">
        <v>5</v>
      </c>
      <c r="K39" t="s">
        <v>4</v>
      </c>
      <c r="L39" t="s">
        <v>18</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79</v>
      </c>
      <c r="B40" t="s">
        <v>39</v>
      </c>
      <c r="C40">
        <v>1</v>
      </c>
      <c r="D40">
        <v>26.5</v>
      </c>
      <c r="E40">
        <v>26.5</v>
      </c>
      <c r="F40" s="1">
        <v>45659</v>
      </c>
      <c r="G40" s="1">
        <v>45660</v>
      </c>
      <c r="H40" t="s">
        <v>8</v>
      </c>
      <c r="I40" t="s">
        <v>25</v>
      </c>
      <c r="J40">
        <v>4</v>
      </c>
      <c r="K40" t="s">
        <v>4</v>
      </c>
      <c r="L40" t="s">
        <v>18</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80</v>
      </c>
      <c r="B41" t="s">
        <v>22</v>
      </c>
      <c r="C41">
        <v>1</v>
      </c>
      <c r="D41">
        <v>43.1</v>
      </c>
      <c r="E41">
        <v>43.1</v>
      </c>
      <c r="F41" s="1">
        <v>45659</v>
      </c>
      <c r="G41" s="1">
        <v>45660</v>
      </c>
      <c r="H41" t="s">
        <v>12</v>
      </c>
      <c r="I41" t="s">
        <v>25</v>
      </c>
      <c r="J41">
        <v>3</v>
      </c>
      <c r="K41" t="s">
        <v>4</v>
      </c>
      <c r="L41" t="s">
        <v>18</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81</v>
      </c>
      <c r="B42" t="s">
        <v>7</v>
      </c>
      <c r="C42">
        <v>3</v>
      </c>
      <c r="D42">
        <v>139</v>
      </c>
      <c r="E42">
        <v>417</v>
      </c>
      <c r="F42" s="1">
        <v>45659</v>
      </c>
      <c r="G42" s="1">
        <v>45660</v>
      </c>
      <c r="H42" t="s">
        <v>12</v>
      </c>
      <c r="I42" t="s">
        <v>55</v>
      </c>
      <c r="J42">
        <v>5</v>
      </c>
      <c r="K42" t="s">
        <v>4</v>
      </c>
      <c r="L42" t="s">
        <v>18</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82</v>
      </c>
      <c r="B43" t="s">
        <v>54</v>
      </c>
      <c r="C43">
        <v>1</v>
      </c>
      <c r="D43">
        <v>80.7</v>
      </c>
      <c r="E43">
        <v>80.7</v>
      </c>
      <c r="F43" s="1">
        <v>45659</v>
      </c>
      <c r="G43" s="1">
        <v>45660</v>
      </c>
      <c r="H43" t="s">
        <v>8</v>
      </c>
      <c r="I43" t="s">
        <v>3</v>
      </c>
      <c r="J43">
        <v>5</v>
      </c>
      <c r="K43" t="s">
        <v>4</v>
      </c>
      <c r="L43" t="s">
        <v>83</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84</v>
      </c>
      <c r="B44" t="s">
        <v>17</v>
      </c>
      <c r="C44">
        <v>2</v>
      </c>
      <c r="D44">
        <v>54.5</v>
      </c>
      <c r="E44">
        <v>109</v>
      </c>
      <c r="F44" s="1">
        <v>45659</v>
      </c>
      <c r="G44" s="1">
        <v>45661</v>
      </c>
      <c r="H44" t="s">
        <v>8</v>
      </c>
      <c r="I44" t="s">
        <v>20</v>
      </c>
      <c r="J44">
        <v>3</v>
      </c>
      <c r="K44" t="s">
        <v>4</v>
      </c>
      <c r="L44" t="s">
        <v>40</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85</v>
      </c>
      <c r="B45" t="s">
        <v>24</v>
      </c>
      <c r="C45">
        <v>3</v>
      </c>
      <c r="D45">
        <v>68.599999999999994</v>
      </c>
      <c r="E45">
        <v>205.79999999999998</v>
      </c>
      <c r="F45" s="1">
        <v>45659</v>
      </c>
      <c r="G45" s="1">
        <v>45659</v>
      </c>
      <c r="H45" t="s">
        <v>12</v>
      </c>
      <c r="I45" t="s">
        <v>3</v>
      </c>
      <c r="J45">
        <v>3</v>
      </c>
      <c r="K45" t="s">
        <v>4</v>
      </c>
      <c r="L45" t="s">
        <v>47</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86</v>
      </c>
      <c r="B46" t="s">
        <v>11</v>
      </c>
      <c r="C46">
        <v>4</v>
      </c>
      <c r="D46">
        <v>135.9</v>
      </c>
      <c r="E46">
        <v>543.6</v>
      </c>
      <c r="F46" s="1">
        <v>45659</v>
      </c>
      <c r="G46" s="1">
        <v>45660</v>
      </c>
      <c r="H46" t="s">
        <v>12</v>
      </c>
      <c r="I46" t="s">
        <v>25</v>
      </c>
      <c r="J46">
        <v>5</v>
      </c>
      <c r="K46" t="s">
        <v>4</v>
      </c>
      <c r="L46" t="s">
        <v>47</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87</v>
      </c>
      <c r="B47" t="s">
        <v>11</v>
      </c>
      <c r="C47">
        <v>4</v>
      </c>
      <c r="D47">
        <v>70.900000000000006</v>
      </c>
      <c r="E47">
        <v>283.60000000000002</v>
      </c>
      <c r="F47" s="1">
        <v>45659</v>
      </c>
      <c r="G47" s="1">
        <v>45660</v>
      </c>
      <c r="H47" t="s">
        <v>12</v>
      </c>
      <c r="I47" t="s">
        <v>3</v>
      </c>
      <c r="J47">
        <v>4</v>
      </c>
      <c r="K47" t="s">
        <v>4</v>
      </c>
      <c r="L47" t="s">
        <v>88</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89</v>
      </c>
      <c r="B48" t="s">
        <v>7</v>
      </c>
      <c r="C48">
        <v>5</v>
      </c>
      <c r="D48">
        <v>63.7</v>
      </c>
      <c r="E48">
        <v>318.5</v>
      </c>
      <c r="F48" s="1">
        <v>45659</v>
      </c>
      <c r="G48" s="1">
        <v>45660</v>
      </c>
      <c r="H48" t="s">
        <v>8</v>
      </c>
      <c r="I48" t="s">
        <v>20</v>
      </c>
      <c r="J48">
        <v>3</v>
      </c>
      <c r="K48" t="s">
        <v>4</v>
      </c>
      <c r="L48" t="s">
        <v>57</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90</v>
      </c>
      <c r="B49" t="s">
        <v>61</v>
      </c>
      <c r="C49">
        <v>1</v>
      </c>
      <c r="D49">
        <v>29.7</v>
      </c>
      <c r="E49">
        <v>29.7</v>
      </c>
      <c r="F49" s="1">
        <v>45659</v>
      </c>
      <c r="G49" s="1">
        <v>45661</v>
      </c>
      <c r="H49" t="s">
        <v>12</v>
      </c>
      <c r="I49" t="s">
        <v>20</v>
      </c>
      <c r="J49">
        <v>4</v>
      </c>
      <c r="K49" t="s">
        <v>4</v>
      </c>
      <c r="L49" t="s">
        <v>62</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91</v>
      </c>
      <c r="B50" t="s">
        <v>17</v>
      </c>
      <c r="C50">
        <v>3</v>
      </c>
      <c r="D50">
        <v>26.8</v>
      </c>
      <c r="E50">
        <v>80.400000000000006</v>
      </c>
      <c r="F50" s="1">
        <v>45659</v>
      </c>
      <c r="G50" s="1">
        <v>45668</v>
      </c>
      <c r="H50" t="s">
        <v>12</v>
      </c>
      <c r="I50" t="s">
        <v>20</v>
      </c>
      <c r="J50">
        <v>5</v>
      </c>
      <c r="K50" t="s">
        <v>4</v>
      </c>
      <c r="L50" t="s">
        <v>62</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92</v>
      </c>
      <c r="B51" t="s">
        <v>66</v>
      </c>
      <c r="C51">
        <v>1</v>
      </c>
      <c r="D51">
        <v>27</v>
      </c>
      <c r="E51">
        <v>27</v>
      </c>
      <c r="F51" s="1">
        <v>45659</v>
      </c>
      <c r="G51" s="1">
        <v>45661</v>
      </c>
      <c r="H51" t="s">
        <v>12</v>
      </c>
      <c r="I51" t="s">
        <v>3</v>
      </c>
      <c r="J51">
        <v>4</v>
      </c>
      <c r="K51" t="s">
        <v>4</v>
      </c>
      <c r="L51" t="s">
        <v>93</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94</v>
      </c>
      <c r="B52" t="s">
        <v>29</v>
      </c>
      <c r="C52">
        <v>1</v>
      </c>
      <c r="D52">
        <v>41.4</v>
      </c>
      <c r="E52">
        <v>41.4</v>
      </c>
      <c r="F52" s="1">
        <v>45659</v>
      </c>
      <c r="G52" s="1">
        <v>45660</v>
      </c>
      <c r="H52" t="s">
        <v>8</v>
      </c>
      <c r="I52" t="s">
        <v>20</v>
      </c>
      <c r="J52">
        <v>5</v>
      </c>
      <c r="K52" t="s">
        <v>4</v>
      </c>
      <c r="L52" t="s">
        <v>95</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96</v>
      </c>
      <c r="B53" t="s">
        <v>29</v>
      </c>
      <c r="C53">
        <v>2</v>
      </c>
      <c r="D53">
        <v>24.3</v>
      </c>
      <c r="E53">
        <v>48.6</v>
      </c>
      <c r="F53" s="1">
        <v>45659</v>
      </c>
      <c r="G53" s="1">
        <v>45662</v>
      </c>
      <c r="H53" t="s">
        <v>12</v>
      </c>
      <c r="I53" t="s">
        <v>20</v>
      </c>
      <c r="J53">
        <v>4</v>
      </c>
      <c r="K53" t="s">
        <v>4</v>
      </c>
      <c r="L53" t="s">
        <v>95</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97</v>
      </c>
      <c r="B54" t="s">
        <v>29</v>
      </c>
      <c r="C54">
        <v>3</v>
      </c>
      <c r="D54">
        <v>41.7</v>
      </c>
      <c r="E54">
        <v>125.10000000000001</v>
      </c>
      <c r="F54" s="1">
        <v>45659</v>
      </c>
      <c r="G54" s="1">
        <v>45661</v>
      </c>
      <c r="H54" t="s">
        <v>8</v>
      </c>
      <c r="I54" t="s">
        <v>3</v>
      </c>
      <c r="J54">
        <v>5</v>
      </c>
      <c r="K54" t="s">
        <v>4</v>
      </c>
      <c r="L54" t="s">
        <v>98</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99</v>
      </c>
      <c r="B55" t="s">
        <v>1</v>
      </c>
      <c r="C55">
        <v>2</v>
      </c>
      <c r="D55">
        <v>18</v>
      </c>
      <c r="E55">
        <v>36</v>
      </c>
      <c r="F55" s="1">
        <v>45659</v>
      </c>
      <c r="G55" s="1">
        <v>45660</v>
      </c>
      <c r="H55" t="s">
        <v>12</v>
      </c>
      <c r="I55" t="s">
        <v>3</v>
      </c>
      <c r="J55">
        <v>5</v>
      </c>
      <c r="K55" t="s">
        <v>4</v>
      </c>
      <c r="L55" t="s">
        <v>100</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101</v>
      </c>
      <c r="B56" t="s">
        <v>27</v>
      </c>
      <c r="C56">
        <v>3</v>
      </c>
      <c r="D56">
        <v>91.3</v>
      </c>
      <c r="E56">
        <v>273.89999999999998</v>
      </c>
      <c r="F56" s="1">
        <v>45659</v>
      </c>
      <c r="G56" s="1">
        <v>45662</v>
      </c>
      <c r="H56" t="s">
        <v>8</v>
      </c>
      <c r="I56" t="s">
        <v>25</v>
      </c>
      <c r="J56">
        <v>5</v>
      </c>
      <c r="K56" t="s">
        <v>4</v>
      </c>
      <c r="L56" t="s">
        <v>18</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102</v>
      </c>
      <c r="B57" t="s">
        <v>29</v>
      </c>
      <c r="C57">
        <v>8</v>
      </c>
      <c r="D57">
        <v>19.3</v>
      </c>
      <c r="E57">
        <v>154.4</v>
      </c>
      <c r="F57" s="1">
        <v>45659</v>
      </c>
      <c r="G57" s="1">
        <v>45660</v>
      </c>
      <c r="H57" t="s">
        <v>8</v>
      </c>
      <c r="I57" t="s">
        <v>3</v>
      </c>
      <c r="J57">
        <v>4</v>
      </c>
      <c r="K57" t="s">
        <v>4</v>
      </c>
      <c r="L57" t="s">
        <v>18</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103</v>
      </c>
      <c r="B58" t="s">
        <v>54</v>
      </c>
      <c r="C58">
        <v>13</v>
      </c>
      <c r="D58">
        <v>63.2</v>
      </c>
      <c r="E58">
        <v>821.6</v>
      </c>
      <c r="F58" s="1">
        <v>45659</v>
      </c>
      <c r="G58" s="1">
        <v>45660</v>
      </c>
      <c r="H58" t="s">
        <v>12</v>
      </c>
      <c r="I58" t="s">
        <v>3</v>
      </c>
      <c r="J58">
        <v>4</v>
      </c>
      <c r="K58" t="s">
        <v>4</v>
      </c>
      <c r="L58" t="s">
        <v>18</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104</v>
      </c>
      <c r="B59" t="s">
        <v>39</v>
      </c>
      <c r="C59">
        <v>9</v>
      </c>
      <c r="D59">
        <v>33.299999999999997</v>
      </c>
      <c r="E59">
        <v>299.7</v>
      </c>
      <c r="F59" s="1">
        <v>45660</v>
      </c>
      <c r="G59" s="1">
        <v>45668</v>
      </c>
      <c r="H59" t="s">
        <v>12</v>
      </c>
      <c r="I59" t="s">
        <v>3</v>
      </c>
      <c r="J59">
        <v>5</v>
      </c>
      <c r="K59" t="s">
        <v>4</v>
      </c>
      <c r="L59" t="s">
        <v>18</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105</v>
      </c>
      <c r="B60" t="s">
        <v>27</v>
      </c>
      <c r="C60">
        <v>2</v>
      </c>
      <c r="D60">
        <v>64.2</v>
      </c>
      <c r="E60">
        <v>128.4</v>
      </c>
      <c r="F60" s="1">
        <v>45660</v>
      </c>
      <c r="G60" s="1">
        <v>45661</v>
      </c>
      <c r="H60" t="s">
        <v>8</v>
      </c>
      <c r="I60" t="s">
        <v>3</v>
      </c>
      <c r="J60">
        <v>5</v>
      </c>
      <c r="K60" t="s">
        <v>4</v>
      </c>
      <c r="L60" t="s">
        <v>18</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106</v>
      </c>
      <c r="B61" t="s">
        <v>31</v>
      </c>
      <c r="C61">
        <v>3</v>
      </c>
      <c r="D61">
        <v>23.1</v>
      </c>
      <c r="E61">
        <v>69.300000000000011</v>
      </c>
      <c r="F61" s="1">
        <v>45660</v>
      </c>
      <c r="G61" s="1">
        <v>45663</v>
      </c>
      <c r="H61" t="s">
        <v>12</v>
      </c>
      <c r="I61" t="s">
        <v>20</v>
      </c>
      <c r="J61">
        <v>5</v>
      </c>
      <c r="K61" t="s">
        <v>4</v>
      </c>
      <c r="L61" t="s">
        <v>18</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107</v>
      </c>
      <c r="B62" t="s">
        <v>108</v>
      </c>
      <c r="C62">
        <v>2</v>
      </c>
      <c r="D62">
        <v>71.099999999999994</v>
      </c>
      <c r="E62">
        <v>142.19999999999999</v>
      </c>
      <c r="F62" s="1">
        <v>45660</v>
      </c>
      <c r="G62" s="1">
        <v>45662</v>
      </c>
      <c r="H62" t="s">
        <v>12</v>
      </c>
      <c r="I62" t="s">
        <v>36</v>
      </c>
      <c r="J62">
        <v>3</v>
      </c>
      <c r="K62" t="s">
        <v>4</v>
      </c>
      <c r="L62" t="s">
        <v>18</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109</v>
      </c>
      <c r="B63" t="s">
        <v>1</v>
      </c>
      <c r="C63">
        <v>2</v>
      </c>
      <c r="D63">
        <v>11.5</v>
      </c>
      <c r="E63">
        <v>23</v>
      </c>
      <c r="F63" s="1">
        <v>45660</v>
      </c>
      <c r="G63" s="1">
        <v>45661</v>
      </c>
      <c r="H63" t="s">
        <v>12</v>
      </c>
      <c r="I63" t="s">
        <v>3</v>
      </c>
      <c r="J63">
        <v>4</v>
      </c>
      <c r="K63" t="s">
        <v>4</v>
      </c>
      <c r="L63" t="s">
        <v>18</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110</v>
      </c>
      <c r="B64" t="s">
        <v>108</v>
      </c>
      <c r="C64">
        <v>19</v>
      </c>
      <c r="D64">
        <v>69.2</v>
      </c>
      <c r="E64">
        <v>1314.8</v>
      </c>
      <c r="F64" s="1">
        <v>45660</v>
      </c>
      <c r="G64" s="1">
        <v>45665</v>
      </c>
      <c r="H64" t="s">
        <v>12</v>
      </c>
      <c r="I64" t="s">
        <v>3</v>
      </c>
      <c r="J64">
        <v>4</v>
      </c>
      <c r="K64" t="s">
        <v>4</v>
      </c>
      <c r="L64" t="s">
        <v>18</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111</v>
      </c>
      <c r="B65" t="s">
        <v>1</v>
      </c>
      <c r="C65">
        <v>1</v>
      </c>
      <c r="D65">
        <v>26.8</v>
      </c>
      <c r="E65">
        <v>26.8</v>
      </c>
      <c r="F65" s="1">
        <v>45660</v>
      </c>
      <c r="G65" s="1">
        <v>45661</v>
      </c>
      <c r="H65" t="s">
        <v>8</v>
      </c>
      <c r="I65" t="s">
        <v>25</v>
      </c>
      <c r="J65">
        <v>2</v>
      </c>
      <c r="K65" t="s">
        <v>4</v>
      </c>
      <c r="L65" t="s">
        <v>18</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112</v>
      </c>
      <c r="B66" t="s">
        <v>113</v>
      </c>
      <c r="C66">
        <v>3</v>
      </c>
      <c r="D66">
        <v>31.2</v>
      </c>
      <c r="E66">
        <v>93.6</v>
      </c>
      <c r="F66" s="1">
        <v>45660</v>
      </c>
      <c r="G66" s="1">
        <v>45663</v>
      </c>
      <c r="H66" t="s">
        <v>12</v>
      </c>
      <c r="I66" t="s">
        <v>3</v>
      </c>
      <c r="J66">
        <v>4</v>
      </c>
      <c r="K66" t="s">
        <v>4</v>
      </c>
      <c r="L66" t="s">
        <v>18</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114</v>
      </c>
      <c r="B67" t="s">
        <v>54</v>
      </c>
      <c r="C67">
        <v>2</v>
      </c>
      <c r="D67">
        <v>113.2</v>
      </c>
      <c r="E67">
        <v>226.4</v>
      </c>
      <c r="F67" s="1">
        <v>45660</v>
      </c>
      <c r="G67" s="1">
        <v>45661</v>
      </c>
      <c r="H67" t="s">
        <v>12</v>
      </c>
      <c r="I67" t="s">
        <v>55</v>
      </c>
      <c r="J67">
        <v>4</v>
      </c>
      <c r="K67" t="s">
        <v>4</v>
      </c>
      <c r="L67" t="s">
        <v>18</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115</v>
      </c>
      <c r="B68" t="s">
        <v>39</v>
      </c>
      <c r="C68">
        <v>8</v>
      </c>
      <c r="D68">
        <v>21</v>
      </c>
      <c r="E68">
        <v>168</v>
      </c>
      <c r="F68" s="1">
        <v>45660</v>
      </c>
      <c r="G68" s="1">
        <v>45661</v>
      </c>
      <c r="H68" t="s">
        <v>8</v>
      </c>
      <c r="I68" t="s">
        <v>3</v>
      </c>
      <c r="J68">
        <v>4</v>
      </c>
      <c r="K68" t="s">
        <v>4</v>
      </c>
      <c r="L68" t="s">
        <v>40</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116</v>
      </c>
      <c r="B69" t="s">
        <v>7</v>
      </c>
      <c r="C69">
        <v>2</v>
      </c>
      <c r="D69">
        <v>89.1</v>
      </c>
      <c r="E69">
        <v>178.2</v>
      </c>
      <c r="F69" s="1">
        <v>45660</v>
      </c>
      <c r="G69" s="1">
        <v>45661</v>
      </c>
      <c r="H69" t="s">
        <v>12</v>
      </c>
      <c r="I69" t="s">
        <v>25</v>
      </c>
      <c r="J69">
        <v>5</v>
      </c>
      <c r="K69" t="s">
        <v>4</v>
      </c>
      <c r="L69" t="s">
        <v>40</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117</v>
      </c>
      <c r="B70" t="s">
        <v>7</v>
      </c>
      <c r="C70">
        <v>1</v>
      </c>
      <c r="D70">
        <v>97.7</v>
      </c>
      <c r="E70">
        <v>97.7</v>
      </c>
      <c r="F70" s="1">
        <v>45660</v>
      </c>
      <c r="G70" s="1">
        <v>45662</v>
      </c>
      <c r="H70" t="s">
        <v>12</v>
      </c>
      <c r="I70" t="s">
        <v>3</v>
      </c>
      <c r="J70">
        <v>3</v>
      </c>
      <c r="K70" t="s">
        <v>4</v>
      </c>
      <c r="L70" t="s">
        <v>40</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118</v>
      </c>
      <c r="B71" t="s">
        <v>108</v>
      </c>
      <c r="C71">
        <v>4</v>
      </c>
      <c r="D71">
        <v>97.7</v>
      </c>
      <c r="E71">
        <v>390.8</v>
      </c>
      <c r="F71" s="1">
        <v>45660</v>
      </c>
      <c r="G71" s="1">
        <v>45662</v>
      </c>
      <c r="H71" t="s">
        <v>8</v>
      </c>
      <c r="I71" t="s">
        <v>36</v>
      </c>
      <c r="J71">
        <v>4</v>
      </c>
      <c r="K71" t="s">
        <v>4</v>
      </c>
      <c r="L71" t="s">
        <v>40</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119</v>
      </c>
      <c r="B72" t="s">
        <v>120</v>
      </c>
      <c r="C72">
        <v>3</v>
      </c>
      <c r="D72">
        <v>47.4</v>
      </c>
      <c r="E72">
        <v>142.19999999999999</v>
      </c>
      <c r="F72" s="1">
        <v>45660</v>
      </c>
      <c r="G72" s="1">
        <v>45663</v>
      </c>
      <c r="H72" t="s">
        <v>8</v>
      </c>
      <c r="I72" t="s">
        <v>36</v>
      </c>
      <c r="J72">
        <v>5</v>
      </c>
      <c r="K72" t="s">
        <v>4</v>
      </c>
      <c r="L72" t="s">
        <v>47</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121</v>
      </c>
      <c r="B73" t="s">
        <v>27</v>
      </c>
      <c r="C73">
        <v>1</v>
      </c>
      <c r="D73">
        <v>89.6</v>
      </c>
      <c r="E73">
        <v>89.6</v>
      </c>
      <c r="F73" s="1">
        <v>45660</v>
      </c>
      <c r="G73" s="1">
        <v>45663</v>
      </c>
      <c r="H73" t="s">
        <v>12</v>
      </c>
      <c r="I73" t="s">
        <v>3</v>
      </c>
      <c r="J73">
        <v>5</v>
      </c>
      <c r="K73" t="s">
        <v>4</v>
      </c>
      <c r="L73" t="s">
        <v>47</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122</v>
      </c>
      <c r="B74" t="s">
        <v>39</v>
      </c>
      <c r="C74">
        <v>18</v>
      </c>
      <c r="D74">
        <v>28.4</v>
      </c>
      <c r="E74">
        <v>511.2</v>
      </c>
      <c r="F74" s="1">
        <v>45660</v>
      </c>
      <c r="G74" s="1">
        <v>45663</v>
      </c>
      <c r="H74" t="s">
        <v>12</v>
      </c>
      <c r="I74" t="s">
        <v>36</v>
      </c>
      <c r="J74">
        <v>5</v>
      </c>
      <c r="K74" t="s">
        <v>4</v>
      </c>
      <c r="L74" t="s">
        <v>88</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123</v>
      </c>
      <c r="B75" t="s">
        <v>1</v>
      </c>
      <c r="C75">
        <v>2</v>
      </c>
      <c r="D75">
        <v>17.899999999999999</v>
      </c>
      <c r="E75">
        <v>35.799999999999997</v>
      </c>
      <c r="F75" s="1">
        <v>45660</v>
      </c>
      <c r="G75" s="1">
        <v>45661</v>
      </c>
      <c r="H75" t="s">
        <v>12</v>
      </c>
      <c r="I75" t="s">
        <v>3</v>
      </c>
      <c r="J75">
        <v>5</v>
      </c>
      <c r="K75" t="s">
        <v>4</v>
      </c>
      <c r="L75" t="s">
        <v>57</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124</v>
      </c>
      <c r="B76" t="s">
        <v>31</v>
      </c>
      <c r="C76">
        <v>2</v>
      </c>
      <c r="D76">
        <v>48.4</v>
      </c>
      <c r="E76">
        <v>96.8</v>
      </c>
      <c r="F76" s="1">
        <v>45660</v>
      </c>
      <c r="G76" s="1">
        <v>45663</v>
      </c>
      <c r="H76" t="s">
        <v>8</v>
      </c>
      <c r="I76" t="s">
        <v>20</v>
      </c>
      <c r="J76">
        <v>4</v>
      </c>
      <c r="K76" t="s">
        <v>4</v>
      </c>
      <c r="L76" t="s">
        <v>57</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125</v>
      </c>
      <c r="B77" t="s">
        <v>54</v>
      </c>
      <c r="C77">
        <v>4</v>
      </c>
      <c r="D77">
        <v>44.4</v>
      </c>
      <c r="E77">
        <v>177.6</v>
      </c>
      <c r="F77" s="1">
        <v>45660</v>
      </c>
      <c r="G77" s="1">
        <v>45661</v>
      </c>
      <c r="H77" t="s">
        <v>74</v>
      </c>
      <c r="I77" t="s">
        <v>20</v>
      </c>
      <c r="J77">
        <v>3</v>
      </c>
      <c r="K77" t="s">
        <v>4</v>
      </c>
      <c r="L77" t="s">
        <v>62</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126</v>
      </c>
      <c r="B78" t="s">
        <v>11</v>
      </c>
      <c r="C78">
        <v>8</v>
      </c>
      <c r="D78">
        <v>103.7</v>
      </c>
      <c r="E78">
        <v>829.6</v>
      </c>
      <c r="F78" s="1">
        <v>45660</v>
      </c>
      <c r="G78" s="1">
        <v>45661</v>
      </c>
      <c r="H78" t="s">
        <v>12</v>
      </c>
      <c r="I78" t="s">
        <v>3</v>
      </c>
      <c r="J78">
        <v>3</v>
      </c>
      <c r="K78" t="s">
        <v>4</v>
      </c>
      <c r="L78" t="s">
        <v>95</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127</v>
      </c>
      <c r="B79" t="s">
        <v>22</v>
      </c>
      <c r="C79">
        <v>4</v>
      </c>
      <c r="D79">
        <v>58.6</v>
      </c>
      <c r="E79">
        <v>234.4</v>
      </c>
      <c r="F79" s="1">
        <v>45660</v>
      </c>
      <c r="G79" s="1">
        <v>45662</v>
      </c>
      <c r="H79" t="s">
        <v>8</v>
      </c>
      <c r="I79" t="s">
        <v>36</v>
      </c>
      <c r="J79">
        <v>4</v>
      </c>
      <c r="K79" t="s">
        <v>4</v>
      </c>
      <c r="L79" t="s">
        <v>95</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128</v>
      </c>
      <c r="B80" t="s">
        <v>31</v>
      </c>
      <c r="C80">
        <v>4</v>
      </c>
      <c r="D80">
        <v>54.8</v>
      </c>
      <c r="E80">
        <v>219.2</v>
      </c>
      <c r="F80" s="1">
        <v>45660</v>
      </c>
      <c r="G80" s="1">
        <v>45664</v>
      </c>
      <c r="H80" t="s">
        <v>12</v>
      </c>
      <c r="I80" t="s">
        <v>25</v>
      </c>
      <c r="J80">
        <v>3</v>
      </c>
      <c r="K80" t="s">
        <v>4</v>
      </c>
      <c r="L80" t="s">
        <v>67</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129</v>
      </c>
      <c r="B81" t="s">
        <v>54</v>
      </c>
      <c r="C81">
        <v>3</v>
      </c>
      <c r="D81">
        <v>78.8</v>
      </c>
      <c r="E81">
        <v>236.39999999999998</v>
      </c>
      <c r="F81" s="1">
        <v>45660</v>
      </c>
      <c r="G81" s="1">
        <v>45666</v>
      </c>
      <c r="H81" t="s">
        <v>12</v>
      </c>
      <c r="I81" t="s">
        <v>55</v>
      </c>
      <c r="J81">
        <v>3</v>
      </c>
      <c r="K81" t="s">
        <v>4</v>
      </c>
      <c r="L81" t="s">
        <v>100</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130</v>
      </c>
      <c r="B82" t="s">
        <v>131</v>
      </c>
      <c r="C82">
        <v>5</v>
      </c>
      <c r="D82">
        <v>36.799999999999997</v>
      </c>
      <c r="E82">
        <v>184</v>
      </c>
      <c r="F82" s="1">
        <v>45660</v>
      </c>
      <c r="G82" s="1">
        <v>45663</v>
      </c>
      <c r="H82" t="s">
        <v>8</v>
      </c>
      <c r="I82" t="s">
        <v>55</v>
      </c>
      <c r="J82">
        <v>3</v>
      </c>
      <c r="K82" t="s">
        <v>4</v>
      </c>
      <c r="L82" t="s">
        <v>132</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133</v>
      </c>
      <c r="B83" t="s">
        <v>24</v>
      </c>
      <c r="C83">
        <v>6</v>
      </c>
      <c r="D83">
        <v>50.6</v>
      </c>
      <c r="E83">
        <v>303.60000000000002</v>
      </c>
      <c r="F83" s="1">
        <v>45660</v>
      </c>
      <c r="G83" s="1">
        <v>45662</v>
      </c>
      <c r="H83" t="s">
        <v>12</v>
      </c>
      <c r="I83" t="s">
        <v>36</v>
      </c>
      <c r="J83">
        <v>4</v>
      </c>
      <c r="K83" t="s">
        <v>4</v>
      </c>
      <c r="L83" t="s">
        <v>18</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134</v>
      </c>
      <c r="B84" t="s">
        <v>108</v>
      </c>
      <c r="C84">
        <v>3</v>
      </c>
      <c r="D84">
        <v>36.799999999999997</v>
      </c>
      <c r="E84">
        <v>110.39999999999999</v>
      </c>
      <c r="F84" s="1">
        <v>45660</v>
      </c>
      <c r="G84" s="1">
        <v>45660</v>
      </c>
      <c r="H84" t="s">
        <v>8</v>
      </c>
      <c r="I84" t="s">
        <v>25</v>
      </c>
      <c r="J84">
        <v>3</v>
      </c>
      <c r="K84" t="s">
        <v>4</v>
      </c>
      <c r="L84" t="s">
        <v>18</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135</v>
      </c>
      <c r="B85" t="s">
        <v>29</v>
      </c>
      <c r="C85">
        <v>9</v>
      </c>
      <c r="D85">
        <v>41.8</v>
      </c>
      <c r="E85">
        <v>376.2</v>
      </c>
      <c r="F85" s="1">
        <v>45661</v>
      </c>
      <c r="G85" s="1">
        <v>45667</v>
      </c>
      <c r="H85" t="s">
        <v>12</v>
      </c>
      <c r="I85" t="s">
        <v>36</v>
      </c>
      <c r="J85">
        <v>4</v>
      </c>
      <c r="K85" t="s">
        <v>4</v>
      </c>
      <c r="L85" t="s">
        <v>18</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136</v>
      </c>
      <c r="B86" t="s">
        <v>131</v>
      </c>
      <c r="C86">
        <v>1</v>
      </c>
      <c r="D86">
        <v>77.3</v>
      </c>
      <c r="E86">
        <v>77.3</v>
      </c>
      <c r="F86" s="1">
        <v>45661</v>
      </c>
      <c r="G86" s="1">
        <v>45662</v>
      </c>
      <c r="H86" t="s">
        <v>8</v>
      </c>
      <c r="I86" t="s">
        <v>55</v>
      </c>
      <c r="J86">
        <v>2</v>
      </c>
      <c r="K86" t="s">
        <v>4</v>
      </c>
      <c r="L86" t="s">
        <v>18</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137</v>
      </c>
      <c r="B87" t="s">
        <v>29</v>
      </c>
      <c r="C87">
        <v>4</v>
      </c>
      <c r="D87">
        <v>19.8</v>
      </c>
      <c r="E87">
        <v>79.2</v>
      </c>
      <c r="F87" s="1">
        <v>45661</v>
      </c>
      <c r="G87" s="1">
        <v>45667</v>
      </c>
      <c r="H87" t="s">
        <v>8</v>
      </c>
      <c r="I87" t="s">
        <v>20</v>
      </c>
      <c r="J87">
        <v>5</v>
      </c>
      <c r="K87" t="s">
        <v>4</v>
      </c>
      <c r="L87" t="s">
        <v>18</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138</v>
      </c>
      <c r="B88" t="s">
        <v>61</v>
      </c>
      <c r="C88">
        <v>4</v>
      </c>
      <c r="D88">
        <v>15.5</v>
      </c>
      <c r="E88">
        <v>62</v>
      </c>
      <c r="F88" s="1">
        <v>45661</v>
      </c>
      <c r="G88" s="1">
        <v>45662</v>
      </c>
      <c r="H88" t="s">
        <v>12</v>
      </c>
      <c r="I88" t="s">
        <v>20</v>
      </c>
      <c r="J88">
        <v>5</v>
      </c>
      <c r="K88" t="s">
        <v>4</v>
      </c>
      <c r="L88" t="s">
        <v>18</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139</v>
      </c>
      <c r="B89" t="s">
        <v>54</v>
      </c>
      <c r="C89">
        <v>1</v>
      </c>
      <c r="D89">
        <v>46.8</v>
      </c>
      <c r="E89">
        <v>46.8</v>
      </c>
      <c r="F89" s="1">
        <v>45661</v>
      </c>
      <c r="G89" s="1">
        <v>45665</v>
      </c>
      <c r="H89" t="s">
        <v>8</v>
      </c>
      <c r="I89" t="s">
        <v>3</v>
      </c>
      <c r="J89">
        <v>5</v>
      </c>
      <c r="K89" t="s">
        <v>4</v>
      </c>
      <c r="L89" t="s">
        <v>18</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140</v>
      </c>
      <c r="B90" t="s">
        <v>31</v>
      </c>
      <c r="C90">
        <v>9</v>
      </c>
      <c r="D90">
        <v>28.6</v>
      </c>
      <c r="E90">
        <v>257.40000000000003</v>
      </c>
      <c r="F90" s="1">
        <v>45661</v>
      </c>
      <c r="G90" s="1">
        <v>45665</v>
      </c>
      <c r="H90" t="s">
        <v>8</v>
      </c>
      <c r="I90" t="s">
        <v>3</v>
      </c>
      <c r="J90">
        <v>5</v>
      </c>
      <c r="K90" t="s">
        <v>4</v>
      </c>
      <c r="L90" t="s">
        <v>18</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141</v>
      </c>
      <c r="B91" t="s">
        <v>11</v>
      </c>
      <c r="C91">
        <v>1</v>
      </c>
      <c r="D91">
        <v>97.7</v>
      </c>
      <c r="E91">
        <v>97.7</v>
      </c>
      <c r="F91" s="1">
        <v>45661</v>
      </c>
      <c r="G91" s="1">
        <v>45664</v>
      </c>
      <c r="H91" t="s">
        <v>12</v>
      </c>
      <c r="I91" t="s">
        <v>20</v>
      </c>
      <c r="J91">
        <v>4</v>
      </c>
      <c r="K91" t="s">
        <v>4</v>
      </c>
      <c r="L91" t="s">
        <v>18</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142</v>
      </c>
      <c r="B92" t="s">
        <v>31</v>
      </c>
      <c r="C92">
        <v>5</v>
      </c>
      <c r="D92">
        <v>54.7</v>
      </c>
      <c r="E92">
        <v>273.5</v>
      </c>
      <c r="F92" s="1">
        <v>45661</v>
      </c>
      <c r="G92" s="1">
        <v>45664</v>
      </c>
      <c r="H92" t="s">
        <v>2</v>
      </c>
      <c r="I92" t="s">
        <v>3</v>
      </c>
      <c r="J92">
        <v>5</v>
      </c>
      <c r="K92" t="s">
        <v>4</v>
      </c>
      <c r="L92" t="s">
        <v>143</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144</v>
      </c>
      <c r="B93" t="s">
        <v>11</v>
      </c>
      <c r="C93">
        <v>6</v>
      </c>
      <c r="D93">
        <v>130.5</v>
      </c>
      <c r="E93">
        <v>783</v>
      </c>
      <c r="F93" s="1">
        <v>45661</v>
      </c>
      <c r="G93" s="1">
        <v>45663</v>
      </c>
      <c r="H93" t="s">
        <v>12</v>
      </c>
      <c r="I93" t="s">
        <v>3</v>
      </c>
      <c r="J93">
        <v>3</v>
      </c>
      <c r="K93" t="s">
        <v>4</v>
      </c>
      <c r="L93" t="s">
        <v>143</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145</v>
      </c>
      <c r="B94" t="s">
        <v>52</v>
      </c>
      <c r="C94">
        <v>2</v>
      </c>
      <c r="D94">
        <v>50.4</v>
      </c>
      <c r="E94">
        <v>100.8</v>
      </c>
      <c r="F94" s="1">
        <v>45661</v>
      </c>
      <c r="G94" s="1">
        <v>45663</v>
      </c>
      <c r="H94" t="s">
        <v>8</v>
      </c>
      <c r="I94" t="s">
        <v>25</v>
      </c>
      <c r="J94">
        <v>5</v>
      </c>
      <c r="K94" t="s">
        <v>4</v>
      </c>
      <c r="L94" t="s">
        <v>40</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146</v>
      </c>
      <c r="B95" t="s">
        <v>24</v>
      </c>
      <c r="C95">
        <v>13</v>
      </c>
      <c r="D95">
        <v>61.5</v>
      </c>
      <c r="E95">
        <v>799.5</v>
      </c>
      <c r="F95" s="1">
        <v>45661</v>
      </c>
      <c r="G95" s="1">
        <v>45662</v>
      </c>
      <c r="H95" t="s">
        <v>2</v>
      </c>
      <c r="I95" t="s">
        <v>36</v>
      </c>
      <c r="J95">
        <v>3</v>
      </c>
      <c r="K95" t="s">
        <v>4</v>
      </c>
      <c r="L95" t="s">
        <v>62</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147</v>
      </c>
      <c r="B96" t="s">
        <v>31</v>
      </c>
      <c r="C96">
        <v>4</v>
      </c>
      <c r="D96">
        <v>30.1</v>
      </c>
      <c r="E96">
        <v>120.4</v>
      </c>
      <c r="F96" s="1">
        <v>45661</v>
      </c>
      <c r="G96" s="1">
        <v>45662</v>
      </c>
      <c r="H96" t="s">
        <v>12</v>
      </c>
      <c r="I96" t="s">
        <v>3</v>
      </c>
      <c r="J96">
        <v>5</v>
      </c>
      <c r="K96" t="s">
        <v>4</v>
      </c>
      <c r="L96" t="s">
        <v>100</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148</v>
      </c>
      <c r="B97" t="s">
        <v>11</v>
      </c>
      <c r="C97">
        <v>5</v>
      </c>
      <c r="D97">
        <v>74.8</v>
      </c>
      <c r="E97">
        <v>374</v>
      </c>
      <c r="F97" s="1">
        <v>45661</v>
      </c>
      <c r="G97" s="1">
        <v>45662</v>
      </c>
      <c r="H97" t="s">
        <v>12</v>
      </c>
      <c r="I97" t="s">
        <v>20</v>
      </c>
      <c r="J97">
        <v>4</v>
      </c>
      <c r="K97" t="s">
        <v>4</v>
      </c>
      <c r="L97" t="s">
        <v>9</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149</v>
      </c>
      <c r="B98" t="s">
        <v>113</v>
      </c>
      <c r="C98">
        <v>3</v>
      </c>
      <c r="D98">
        <v>64.900000000000006</v>
      </c>
      <c r="E98">
        <v>194.70000000000002</v>
      </c>
      <c r="F98" s="1">
        <v>45661</v>
      </c>
      <c r="G98" s="1">
        <v>45668</v>
      </c>
      <c r="H98" t="s">
        <v>8</v>
      </c>
      <c r="I98" t="s">
        <v>3</v>
      </c>
      <c r="J98">
        <v>4</v>
      </c>
      <c r="K98" t="s">
        <v>4</v>
      </c>
      <c r="L98" t="s">
        <v>13</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150</v>
      </c>
      <c r="B99" t="s">
        <v>31</v>
      </c>
      <c r="C99">
        <v>2</v>
      </c>
      <c r="D99">
        <v>50.5</v>
      </c>
      <c r="E99">
        <v>101</v>
      </c>
      <c r="F99" s="1">
        <v>45661</v>
      </c>
      <c r="G99" s="1">
        <v>45663</v>
      </c>
      <c r="H99" t="s">
        <v>8</v>
      </c>
      <c r="I99" t="s">
        <v>20</v>
      </c>
      <c r="J99">
        <v>4</v>
      </c>
      <c r="K99" t="s">
        <v>4</v>
      </c>
      <c r="L99" t="s">
        <v>132</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151</v>
      </c>
      <c r="B100" t="s">
        <v>52</v>
      </c>
      <c r="C100">
        <v>7</v>
      </c>
      <c r="D100">
        <v>63</v>
      </c>
      <c r="E100">
        <v>441</v>
      </c>
      <c r="F100" s="1">
        <v>45661</v>
      </c>
      <c r="G100" s="1">
        <v>45664</v>
      </c>
      <c r="H100" t="s">
        <v>8</v>
      </c>
      <c r="I100" t="s">
        <v>36</v>
      </c>
      <c r="J100">
        <v>5</v>
      </c>
      <c r="K100" t="s">
        <v>4</v>
      </c>
      <c r="L100" t="s">
        <v>18</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152</v>
      </c>
      <c r="B101" t="s">
        <v>11</v>
      </c>
      <c r="C101">
        <v>3</v>
      </c>
      <c r="D101">
        <v>93.6</v>
      </c>
      <c r="E101">
        <v>280.79999999999995</v>
      </c>
      <c r="F101" s="1">
        <v>45661</v>
      </c>
      <c r="G101" s="1">
        <v>45674</v>
      </c>
      <c r="H101" t="s">
        <v>12</v>
      </c>
      <c r="I101" t="s">
        <v>3</v>
      </c>
      <c r="J101">
        <v>5</v>
      </c>
      <c r="K101" t="s">
        <v>4</v>
      </c>
      <c r="L101" t="s">
        <v>18</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153</v>
      </c>
      <c r="B102" t="s">
        <v>22</v>
      </c>
      <c r="C102">
        <v>30</v>
      </c>
      <c r="D102">
        <v>41.4</v>
      </c>
      <c r="E102">
        <v>1242</v>
      </c>
      <c r="F102" s="1">
        <v>45661</v>
      </c>
      <c r="G102" s="1">
        <v>45665</v>
      </c>
      <c r="H102" t="s">
        <v>8</v>
      </c>
      <c r="I102" t="s">
        <v>25</v>
      </c>
      <c r="J102">
        <v>5</v>
      </c>
      <c r="K102" t="s">
        <v>4</v>
      </c>
      <c r="L102" t="s">
        <v>18</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154</v>
      </c>
      <c r="B103" t="s">
        <v>11</v>
      </c>
      <c r="C103">
        <v>2</v>
      </c>
      <c r="D103">
        <v>160</v>
      </c>
      <c r="E103">
        <v>320</v>
      </c>
      <c r="F103" s="1">
        <v>45662</v>
      </c>
      <c r="G103" s="1">
        <v>45663</v>
      </c>
      <c r="H103" t="s">
        <v>8</v>
      </c>
      <c r="I103" t="s">
        <v>25</v>
      </c>
      <c r="J103">
        <v>5</v>
      </c>
      <c r="K103" t="s">
        <v>4</v>
      </c>
      <c r="L103" t="s">
        <v>37</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155</v>
      </c>
      <c r="B104" t="s">
        <v>156</v>
      </c>
      <c r="C104">
        <v>11</v>
      </c>
      <c r="D104">
        <v>10.5</v>
      </c>
      <c r="E104">
        <v>115.5</v>
      </c>
      <c r="F104" s="1">
        <v>45662</v>
      </c>
      <c r="G104" s="1">
        <v>45665</v>
      </c>
      <c r="H104" t="s">
        <v>12</v>
      </c>
      <c r="I104" t="s">
        <v>55</v>
      </c>
      <c r="J104">
        <v>4</v>
      </c>
      <c r="K104" t="s">
        <v>4</v>
      </c>
      <c r="L104" t="s">
        <v>47</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157</v>
      </c>
      <c r="B105" t="s">
        <v>39</v>
      </c>
      <c r="C105">
        <v>2</v>
      </c>
      <c r="D105">
        <v>53</v>
      </c>
      <c r="E105">
        <v>106</v>
      </c>
      <c r="F105" s="1">
        <v>45662</v>
      </c>
      <c r="G105" s="1">
        <v>45662</v>
      </c>
      <c r="H105" t="s">
        <v>8</v>
      </c>
      <c r="I105" t="s">
        <v>25</v>
      </c>
      <c r="J105">
        <v>2</v>
      </c>
      <c r="K105" t="s">
        <v>4</v>
      </c>
      <c r="L105" t="s">
        <v>88</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158</v>
      </c>
      <c r="B106" t="s">
        <v>29</v>
      </c>
      <c r="C106">
        <v>3</v>
      </c>
      <c r="D106">
        <v>18.5</v>
      </c>
      <c r="E106">
        <v>55.5</v>
      </c>
      <c r="F106" s="1">
        <v>45662</v>
      </c>
      <c r="G106" s="1">
        <v>45667</v>
      </c>
      <c r="H106" t="s">
        <v>12</v>
      </c>
      <c r="I106" t="s">
        <v>20</v>
      </c>
      <c r="J106">
        <v>5</v>
      </c>
      <c r="K106" t="s">
        <v>4</v>
      </c>
      <c r="L106" t="s">
        <v>62</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159</v>
      </c>
      <c r="B107" t="s">
        <v>113</v>
      </c>
      <c r="C107">
        <v>3</v>
      </c>
      <c r="D107">
        <v>84.5</v>
      </c>
      <c r="E107">
        <v>253.5</v>
      </c>
      <c r="F107" s="1">
        <v>45662</v>
      </c>
      <c r="G107" s="1">
        <v>45664</v>
      </c>
      <c r="H107" t="s">
        <v>12</v>
      </c>
      <c r="I107" t="s">
        <v>55</v>
      </c>
      <c r="J107">
        <v>3</v>
      </c>
      <c r="K107" t="s">
        <v>4</v>
      </c>
      <c r="L107" t="s">
        <v>67</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160</v>
      </c>
      <c r="B108" t="s">
        <v>108</v>
      </c>
      <c r="C108">
        <v>7</v>
      </c>
      <c r="D108">
        <v>31.2</v>
      </c>
      <c r="E108">
        <v>218.4</v>
      </c>
      <c r="F108" s="1">
        <v>45662</v>
      </c>
      <c r="G108" s="1">
        <v>45662</v>
      </c>
      <c r="H108" t="s">
        <v>12</v>
      </c>
      <c r="I108" t="s">
        <v>25</v>
      </c>
      <c r="J108">
        <v>5</v>
      </c>
      <c r="K108" t="s">
        <v>4</v>
      </c>
      <c r="L108" t="s">
        <v>18</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161</v>
      </c>
      <c r="B109" t="s">
        <v>29</v>
      </c>
      <c r="C109">
        <v>18</v>
      </c>
      <c r="D109">
        <v>32.6</v>
      </c>
      <c r="E109">
        <v>586.80000000000007</v>
      </c>
      <c r="F109" s="1">
        <v>45662</v>
      </c>
      <c r="G109" s="1">
        <v>45663</v>
      </c>
      <c r="H109" t="s">
        <v>8</v>
      </c>
      <c r="I109" t="s">
        <v>20</v>
      </c>
      <c r="J109">
        <v>3</v>
      </c>
      <c r="K109" t="s">
        <v>4</v>
      </c>
      <c r="L109" t="s">
        <v>18</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162</v>
      </c>
      <c r="B110" t="s">
        <v>39</v>
      </c>
      <c r="C110">
        <v>4</v>
      </c>
      <c r="D110">
        <v>45.4</v>
      </c>
      <c r="E110">
        <v>181.6</v>
      </c>
      <c r="F110" s="1">
        <v>45662</v>
      </c>
      <c r="G110" s="1">
        <v>45664</v>
      </c>
      <c r="H110" t="s">
        <v>8</v>
      </c>
      <c r="I110" t="s">
        <v>20</v>
      </c>
      <c r="J110">
        <v>4</v>
      </c>
      <c r="K110" t="s">
        <v>4</v>
      </c>
      <c r="L110" t="s">
        <v>18</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163</v>
      </c>
      <c r="B111" t="s">
        <v>11</v>
      </c>
      <c r="C111">
        <v>12</v>
      </c>
      <c r="D111">
        <v>120</v>
      </c>
      <c r="E111">
        <v>1440</v>
      </c>
      <c r="F111" s="1">
        <v>45662</v>
      </c>
      <c r="G111" s="1">
        <v>45663</v>
      </c>
      <c r="H111" t="s">
        <v>12</v>
      </c>
      <c r="I111" t="s">
        <v>25</v>
      </c>
      <c r="J111">
        <v>2</v>
      </c>
      <c r="K111" t="s">
        <v>4</v>
      </c>
      <c r="L111" t="s">
        <v>18</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164</v>
      </c>
      <c r="B112" t="s">
        <v>1</v>
      </c>
      <c r="C112">
        <v>4</v>
      </c>
      <c r="D112">
        <v>18.899999999999999</v>
      </c>
      <c r="E112">
        <v>75.599999999999994</v>
      </c>
      <c r="F112" s="1">
        <v>45662</v>
      </c>
      <c r="G112" s="1">
        <v>45664</v>
      </c>
      <c r="H112" t="s">
        <v>8</v>
      </c>
      <c r="I112" t="s">
        <v>3</v>
      </c>
      <c r="J112">
        <v>5</v>
      </c>
      <c r="K112" t="s">
        <v>4</v>
      </c>
      <c r="L112" t="s">
        <v>18</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165</v>
      </c>
      <c r="B113" t="s">
        <v>17</v>
      </c>
      <c r="C113">
        <v>1</v>
      </c>
      <c r="D113">
        <v>32</v>
      </c>
      <c r="E113">
        <v>32</v>
      </c>
      <c r="F113" s="1">
        <v>45662</v>
      </c>
      <c r="G113" s="1">
        <v>45664</v>
      </c>
      <c r="H113" t="s">
        <v>12</v>
      </c>
      <c r="I113" t="s">
        <v>55</v>
      </c>
      <c r="J113">
        <v>4</v>
      </c>
      <c r="K113" t="s">
        <v>4</v>
      </c>
      <c r="L113" t="s">
        <v>18</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166</v>
      </c>
      <c r="B114" t="s">
        <v>27</v>
      </c>
      <c r="C114">
        <v>2</v>
      </c>
      <c r="D114">
        <v>37.299999999999997</v>
      </c>
      <c r="E114">
        <v>74.599999999999994</v>
      </c>
      <c r="F114" s="1">
        <v>45662</v>
      </c>
      <c r="G114" s="1">
        <v>45663</v>
      </c>
      <c r="H114" t="s">
        <v>8</v>
      </c>
      <c r="I114" t="s">
        <v>25</v>
      </c>
      <c r="J114">
        <v>4</v>
      </c>
      <c r="K114" t="s">
        <v>4</v>
      </c>
      <c r="L114" t="s">
        <v>18</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167</v>
      </c>
      <c r="B115" t="s">
        <v>131</v>
      </c>
      <c r="C115">
        <v>1</v>
      </c>
      <c r="D115">
        <v>119.8</v>
      </c>
      <c r="E115">
        <v>119.8</v>
      </c>
      <c r="F115" s="1">
        <v>45662</v>
      </c>
      <c r="G115" s="1">
        <v>45663</v>
      </c>
      <c r="H115" t="s">
        <v>8</v>
      </c>
      <c r="I115" t="s">
        <v>20</v>
      </c>
      <c r="J115">
        <v>3</v>
      </c>
      <c r="K115" t="s">
        <v>4</v>
      </c>
      <c r="L115" t="s">
        <v>18</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168</v>
      </c>
      <c r="B116" t="s">
        <v>39</v>
      </c>
      <c r="C116">
        <v>2</v>
      </c>
      <c r="D116">
        <v>26.4</v>
      </c>
      <c r="E116">
        <v>52.8</v>
      </c>
      <c r="F116" s="1">
        <v>45662</v>
      </c>
      <c r="G116" s="1">
        <v>45665</v>
      </c>
      <c r="H116" t="s">
        <v>8</v>
      </c>
      <c r="I116" t="s">
        <v>25</v>
      </c>
      <c r="J116">
        <v>4</v>
      </c>
      <c r="K116" t="s">
        <v>4</v>
      </c>
      <c r="L116" t="s">
        <v>18</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169</v>
      </c>
      <c r="B117" t="s">
        <v>24</v>
      </c>
      <c r="C117">
        <v>6</v>
      </c>
      <c r="D117">
        <v>76.5</v>
      </c>
      <c r="E117">
        <v>459</v>
      </c>
      <c r="F117" s="1">
        <v>45662</v>
      </c>
      <c r="G117" s="1">
        <v>45663</v>
      </c>
      <c r="H117" t="s">
        <v>12</v>
      </c>
      <c r="I117" t="s">
        <v>20</v>
      </c>
      <c r="J117">
        <v>3</v>
      </c>
      <c r="K117" t="s">
        <v>4</v>
      </c>
      <c r="L117" t="s">
        <v>18</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170</v>
      </c>
      <c r="B118" t="s">
        <v>17</v>
      </c>
      <c r="C118">
        <v>10</v>
      </c>
      <c r="D118">
        <v>45.7</v>
      </c>
      <c r="E118">
        <v>457</v>
      </c>
      <c r="F118" s="1">
        <v>45662</v>
      </c>
      <c r="G118" s="1">
        <v>45663</v>
      </c>
      <c r="H118" t="s">
        <v>12</v>
      </c>
      <c r="I118" t="s">
        <v>25</v>
      </c>
      <c r="J118">
        <v>4</v>
      </c>
      <c r="K118" t="s">
        <v>4</v>
      </c>
      <c r="L118" t="s">
        <v>171</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172</v>
      </c>
      <c r="B119" t="s">
        <v>7</v>
      </c>
      <c r="C119">
        <v>12</v>
      </c>
      <c r="D119">
        <v>92.6</v>
      </c>
      <c r="E119">
        <v>1111.1999999999998</v>
      </c>
      <c r="F119" s="1">
        <v>45662</v>
      </c>
      <c r="G119" s="1">
        <v>45664</v>
      </c>
      <c r="H119" t="s">
        <v>12</v>
      </c>
      <c r="I119" t="s">
        <v>25</v>
      </c>
      <c r="J119">
        <v>4</v>
      </c>
      <c r="K119" t="s">
        <v>4</v>
      </c>
      <c r="L119" t="s">
        <v>173</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174</v>
      </c>
      <c r="B120" t="s">
        <v>24</v>
      </c>
      <c r="C120">
        <v>6</v>
      </c>
      <c r="D120">
        <v>60.1</v>
      </c>
      <c r="E120">
        <v>360.6</v>
      </c>
      <c r="F120" s="1">
        <v>45662</v>
      </c>
      <c r="G120" s="1">
        <v>45663</v>
      </c>
      <c r="H120" t="s">
        <v>8</v>
      </c>
      <c r="I120" t="s">
        <v>20</v>
      </c>
      <c r="J120">
        <v>4</v>
      </c>
      <c r="K120" t="s">
        <v>4</v>
      </c>
      <c r="L120" t="s">
        <v>143</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175</v>
      </c>
      <c r="B121" t="s">
        <v>7</v>
      </c>
      <c r="C121">
        <v>3</v>
      </c>
      <c r="D121">
        <v>73</v>
      </c>
      <c r="E121">
        <v>219</v>
      </c>
      <c r="F121" s="1">
        <v>45662</v>
      </c>
      <c r="G121" s="1">
        <v>45663</v>
      </c>
      <c r="H121" t="s">
        <v>12</v>
      </c>
      <c r="I121" t="s">
        <v>36</v>
      </c>
      <c r="J121">
        <v>3</v>
      </c>
      <c r="K121" t="s">
        <v>4</v>
      </c>
      <c r="L121" t="s">
        <v>40</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176</v>
      </c>
      <c r="B122" t="s">
        <v>24</v>
      </c>
      <c r="C122">
        <v>3</v>
      </c>
      <c r="D122">
        <v>44.3</v>
      </c>
      <c r="E122">
        <v>132.89999999999998</v>
      </c>
      <c r="F122" s="1">
        <v>45662</v>
      </c>
      <c r="G122" s="1">
        <v>45666</v>
      </c>
      <c r="H122" t="s">
        <v>2</v>
      </c>
      <c r="I122" t="s">
        <v>25</v>
      </c>
      <c r="J122">
        <v>5</v>
      </c>
      <c r="K122" t="s">
        <v>4</v>
      </c>
      <c r="L122" t="s">
        <v>40</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177</v>
      </c>
      <c r="B123" t="s">
        <v>24</v>
      </c>
      <c r="C123">
        <v>3</v>
      </c>
      <c r="D123">
        <v>63.3</v>
      </c>
      <c r="E123">
        <v>189.89999999999998</v>
      </c>
      <c r="F123" s="1">
        <v>45662</v>
      </c>
      <c r="G123" s="1">
        <v>45663</v>
      </c>
      <c r="H123" t="s">
        <v>8</v>
      </c>
      <c r="I123" t="s">
        <v>25</v>
      </c>
      <c r="J123">
        <v>4</v>
      </c>
      <c r="K123" t="s">
        <v>4</v>
      </c>
      <c r="L123" t="s">
        <v>40</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178</v>
      </c>
      <c r="B124" t="s">
        <v>54</v>
      </c>
      <c r="C124">
        <v>1</v>
      </c>
      <c r="D124">
        <v>66.8</v>
      </c>
      <c r="E124">
        <v>66.8</v>
      </c>
      <c r="F124" s="1">
        <v>45662</v>
      </c>
      <c r="G124" s="1">
        <v>45663</v>
      </c>
      <c r="H124" t="s">
        <v>12</v>
      </c>
      <c r="I124" t="s">
        <v>20</v>
      </c>
      <c r="J124">
        <v>4</v>
      </c>
      <c r="K124" t="s">
        <v>4</v>
      </c>
      <c r="L124" t="s">
        <v>40</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179</v>
      </c>
      <c r="B125" t="s">
        <v>11</v>
      </c>
      <c r="C125">
        <v>2</v>
      </c>
      <c r="D125">
        <v>59.7</v>
      </c>
      <c r="E125">
        <v>119.4</v>
      </c>
      <c r="F125" s="1">
        <v>45662</v>
      </c>
      <c r="G125" s="1">
        <v>45663</v>
      </c>
      <c r="H125" t="s">
        <v>12</v>
      </c>
      <c r="I125" t="s">
        <v>3</v>
      </c>
      <c r="J125">
        <v>4</v>
      </c>
      <c r="K125" t="s">
        <v>4</v>
      </c>
      <c r="L125" t="s">
        <v>44</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180</v>
      </c>
      <c r="B126" t="s">
        <v>7</v>
      </c>
      <c r="C126">
        <v>6</v>
      </c>
      <c r="D126">
        <v>92</v>
      </c>
      <c r="E126">
        <v>552</v>
      </c>
      <c r="F126" s="1">
        <v>45662</v>
      </c>
      <c r="G126" s="1">
        <v>45664</v>
      </c>
      <c r="H126" t="s">
        <v>8</v>
      </c>
      <c r="I126" t="s">
        <v>3</v>
      </c>
      <c r="J126">
        <v>2</v>
      </c>
      <c r="K126" t="s">
        <v>4</v>
      </c>
      <c r="L126" t="s">
        <v>44</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181</v>
      </c>
      <c r="B127" t="s">
        <v>27</v>
      </c>
      <c r="C127">
        <v>2</v>
      </c>
      <c r="D127">
        <v>87.6</v>
      </c>
      <c r="E127">
        <v>175.2</v>
      </c>
      <c r="F127" s="1">
        <v>45662</v>
      </c>
      <c r="G127" s="1">
        <v>45664</v>
      </c>
      <c r="H127" t="s">
        <v>8</v>
      </c>
      <c r="I127" t="s">
        <v>20</v>
      </c>
      <c r="J127">
        <v>3</v>
      </c>
      <c r="K127" t="s">
        <v>4</v>
      </c>
      <c r="L127" t="s">
        <v>47</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182</v>
      </c>
      <c r="B128" t="s">
        <v>24</v>
      </c>
      <c r="C128">
        <v>3</v>
      </c>
      <c r="D128">
        <v>84.5</v>
      </c>
      <c r="E128">
        <v>253.5</v>
      </c>
      <c r="F128" s="1">
        <v>45662</v>
      </c>
      <c r="G128" s="1">
        <v>45663</v>
      </c>
      <c r="H128" t="s">
        <v>12</v>
      </c>
      <c r="I128" t="s">
        <v>20</v>
      </c>
      <c r="J128">
        <v>3</v>
      </c>
      <c r="K128" t="s">
        <v>4</v>
      </c>
      <c r="L128" t="s">
        <v>47</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183</v>
      </c>
      <c r="B129" t="s">
        <v>7</v>
      </c>
      <c r="C129">
        <v>2</v>
      </c>
      <c r="D129">
        <v>116.3</v>
      </c>
      <c r="E129">
        <v>232.6</v>
      </c>
      <c r="F129" s="1">
        <v>45663</v>
      </c>
      <c r="G129" s="1">
        <v>45665</v>
      </c>
      <c r="H129" t="s">
        <v>8</v>
      </c>
      <c r="I129" t="s">
        <v>25</v>
      </c>
      <c r="J129">
        <v>5</v>
      </c>
      <c r="K129" t="s">
        <v>4</v>
      </c>
      <c r="L129" t="s">
        <v>47</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184</v>
      </c>
      <c r="B130" t="s">
        <v>24</v>
      </c>
      <c r="C130">
        <v>5</v>
      </c>
      <c r="D130">
        <v>52.7</v>
      </c>
      <c r="E130">
        <v>263.5</v>
      </c>
      <c r="F130" s="1">
        <v>45663</v>
      </c>
      <c r="G130" s="1">
        <v>45667</v>
      </c>
      <c r="H130" t="s">
        <v>8</v>
      </c>
      <c r="I130" t="s">
        <v>3</v>
      </c>
      <c r="J130">
        <v>4</v>
      </c>
      <c r="K130" t="s">
        <v>4</v>
      </c>
      <c r="L130" t="s">
        <v>47</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185</v>
      </c>
      <c r="B131" t="s">
        <v>113</v>
      </c>
      <c r="C131">
        <v>3</v>
      </c>
      <c r="D131">
        <v>34.200000000000003</v>
      </c>
      <c r="E131">
        <v>102.60000000000001</v>
      </c>
      <c r="F131" s="1">
        <v>45663</v>
      </c>
      <c r="G131" s="1">
        <v>45664</v>
      </c>
      <c r="H131" t="s">
        <v>8</v>
      </c>
      <c r="I131" t="s">
        <v>3</v>
      </c>
      <c r="J131">
        <v>5</v>
      </c>
      <c r="K131" t="s">
        <v>4</v>
      </c>
      <c r="L131" t="s">
        <v>186</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187</v>
      </c>
      <c r="B132" t="s">
        <v>31</v>
      </c>
      <c r="C132">
        <v>1</v>
      </c>
      <c r="D132">
        <v>23.3</v>
      </c>
      <c r="E132">
        <v>23.3</v>
      </c>
      <c r="F132" s="1">
        <v>45663</v>
      </c>
      <c r="G132" s="1">
        <v>45672</v>
      </c>
      <c r="H132" t="s">
        <v>74</v>
      </c>
      <c r="I132" t="s">
        <v>25</v>
      </c>
      <c r="J132">
        <v>5</v>
      </c>
      <c r="K132" t="s">
        <v>4</v>
      </c>
      <c r="L132" t="s">
        <v>57</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188</v>
      </c>
      <c r="B133" t="s">
        <v>1</v>
      </c>
      <c r="C133">
        <v>26</v>
      </c>
      <c r="D133">
        <v>25.9</v>
      </c>
      <c r="E133">
        <v>673.4</v>
      </c>
      <c r="F133" s="1">
        <v>45663</v>
      </c>
      <c r="G133" s="1">
        <v>45666</v>
      </c>
      <c r="H133" t="s">
        <v>12</v>
      </c>
      <c r="I133" t="s">
        <v>55</v>
      </c>
      <c r="J133">
        <v>3</v>
      </c>
      <c r="K133" t="s">
        <v>4</v>
      </c>
      <c r="L133" t="s">
        <v>57</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189</v>
      </c>
      <c r="B134" t="s">
        <v>24</v>
      </c>
      <c r="C134">
        <v>29</v>
      </c>
      <c r="D134">
        <v>54.9</v>
      </c>
      <c r="E134">
        <v>1592.1</v>
      </c>
      <c r="F134" s="1">
        <v>45663</v>
      </c>
      <c r="G134" s="1">
        <v>45664</v>
      </c>
      <c r="H134" t="s">
        <v>8</v>
      </c>
      <c r="I134" t="s">
        <v>20</v>
      </c>
      <c r="J134">
        <v>5</v>
      </c>
      <c r="K134" t="s">
        <v>4</v>
      </c>
      <c r="L134" t="s">
        <v>57</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190</v>
      </c>
      <c r="B135" t="s">
        <v>22</v>
      </c>
      <c r="C135">
        <v>3</v>
      </c>
      <c r="D135">
        <v>75.8</v>
      </c>
      <c r="E135">
        <v>227.39999999999998</v>
      </c>
      <c r="F135" s="1">
        <v>45663</v>
      </c>
      <c r="G135" s="1">
        <v>45668</v>
      </c>
      <c r="H135" t="s">
        <v>74</v>
      </c>
      <c r="I135" t="s">
        <v>20</v>
      </c>
      <c r="J135">
        <v>4</v>
      </c>
      <c r="K135" t="s">
        <v>4</v>
      </c>
      <c r="L135" t="s">
        <v>93</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191</v>
      </c>
      <c r="B136" t="s">
        <v>7</v>
      </c>
      <c r="C136">
        <v>9</v>
      </c>
      <c r="D136">
        <v>44.9</v>
      </c>
      <c r="E136">
        <v>404.09999999999997</v>
      </c>
      <c r="F136" s="1">
        <v>45663</v>
      </c>
      <c r="G136" s="1">
        <v>45666</v>
      </c>
      <c r="H136" t="s">
        <v>12</v>
      </c>
      <c r="I136" t="s">
        <v>25</v>
      </c>
      <c r="J136">
        <v>5</v>
      </c>
      <c r="K136" t="s">
        <v>4</v>
      </c>
      <c r="L136" t="s">
        <v>13</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192</v>
      </c>
      <c r="B137" t="s">
        <v>52</v>
      </c>
      <c r="C137">
        <v>2</v>
      </c>
      <c r="D137">
        <v>48.8</v>
      </c>
      <c r="E137">
        <v>97.6</v>
      </c>
      <c r="F137" s="1">
        <v>45663</v>
      </c>
      <c r="G137" s="1">
        <v>45665</v>
      </c>
      <c r="H137" t="s">
        <v>12</v>
      </c>
      <c r="I137" t="s">
        <v>36</v>
      </c>
      <c r="J137">
        <v>4</v>
      </c>
      <c r="K137" t="s">
        <v>4</v>
      </c>
      <c r="L137" t="s">
        <v>193</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194</v>
      </c>
      <c r="B138" t="s">
        <v>108</v>
      </c>
      <c r="C138">
        <v>1</v>
      </c>
      <c r="D138">
        <v>20.3</v>
      </c>
      <c r="E138">
        <v>20.3</v>
      </c>
      <c r="F138" s="1">
        <v>45663</v>
      </c>
      <c r="G138" s="1">
        <v>45664</v>
      </c>
      <c r="H138" t="s">
        <v>12</v>
      </c>
      <c r="I138" t="s">
        <v>3</v>
      </c>
      <c r="J138">
        <v>5</v>
      </c>
      <c r="K138" t="s">
        <v>4</v>
      </c>
      <c r="L138" t="s">
        <v>132</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195</v>
      </c>
      <c r="B139" t="s">
        <v>22</v>
      </c>
      <c r="C139">
        <v>7</v>
      </c>
      <c r="D139">
        <v>36.4</v>
      </c>
      <c r="E139">
        <v>254.79999999999998</v>
      </c>
      <c r="F139" s="1">
        <v>45663</v>
      </c>
      <c r="G139" s="1">
        <v>45666</v>
      </c>
      <c r="H139" t="s">
        <v>12</v>
      </c>
      <c r="I139" t="s">
        <v>3</v>
      </c>
      <c r="J139">
        <v>3</v>
      </c>
      <c r="K139" t="s">
        <v>4</v>
      </c>
      <c r="L139" t="s">
        <v>18</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196</v>
      </c>
      <c r="B140" t="s">
        <v>1</v>
      </c>
      <c r="C140">
        <v>1</v>
      </c>
      <c r="D140">
        <v>19</v>
      </c>
      <c r="E140">
        <v>19</v>
      </c>
      <c r="F140" s="1">
        <v>45663</v>
      </c>
      <c r="G140" s="1">
        <v>45668</v>
      </c>
      <c r="H140" t="s">
        <v>12</v>
      </c>
      <c r="I140" t="s">
        <v>20</v>
      </c>
      <c r="J140">
        <v>5</v>
      </c>
      <c r="K140" t="s">
        <v>4</v>
      </c>
      <c r="L140" t="s">
        <v>18</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197</v>
      </c>
      <c r="B141" t="s">
        <v>29</v>
      </c>
      <c r="C141">
        <v>1</v>
      </c>
      <c r="D141">
        <v>17.8</v>
      </c>
      <c r="E141">
        <v>17.8</v>
      </c>
      <c r="F141" s="1">
        <v>45663</v>
      </c>
      <c r="G141" s="1">
        <v>45663</v>
      </c>
      <c r="H141" t="s">
        <v>8</v>
      </c>
      <c r="I141" t="s">
        <v>3</v>
      </c>
      <c r="J141">
        <v>4</v>
      </c>
      <c r="K141" t="s">
        <v>4</v>
      </c>
      <c r="L141" t="s">
        <v>18</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198</v>
      </c>
      <c r="B142" t="s">
        <v>11</v>
      </c>
      <c r="C142">
        <v>6</v>
      </c>
      <c r="D142">
        <v>139.6</v>
      </c>
      <c r="E142">
        <v>837.59999999999991</v>
      </c>
      <c r="F142" s="1">
        <v>45663</v>
      </c>
      <c r="G142" s="1">
        <v>45666</v>
      </c>
      <c r="H142" t="s">
        <v>8</v>
      </c>
      <c r="I142" t="s">
        <v>3</v>
      </c>
      <c r="J142">
        <v>4</v>
      </c>
      <c r="K142" t="s">
        <v>4</v>
      </c>
      <c r="L142" t="s">
        <v>18</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199</v>
      </c>
      <c r="B143" t="s">
        <v>31</v>
      </c>
      <c r="C143">
        <v>1</v>
      </c>
      <c r="D143">
        <v>31.7</v>
      </c>
      <c r="E143">
        <v>31.7</v>
      </c>
      <c r="F143" s="1">
        <v>45663</v>
      </c>
      <c r="G143" s="1">
        <v>45663</v>
      </c>
      <c r="H143" t="s">
        <v>2</v>
      </c>
      <c r="I143" t="s">
        <v>3</v>
      </c>
      <c r="J143">
        <v>4</v>
      </c>
      <c r="K143" t="s">
        <v>4</v>
      </c>
      <c r="L143" t="s">
        <v>18</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200</v>
      </c>
      <c r="B144" t="s">
        <v>29</v>
      </c>
      <c r="C144">
        <v>8</v>
      </c>
      <c r="D144">
        <v>26.3</v>
      </c>
      <c r="E144">
        <v>210.4</v>
      </c>
      <c r="F144" s="1">
        <v>45663</v>
      </c>
      <c r="G144" s="1">
        <v>45666</v>
      </c>
      <c r="H144" t="s">
        <v>12</v>
      </c>
      <c r="I144" t="s">
        <v>55</v>
      </c>
      <c r="J144">
        <v>2</v>
      </c>
      <c r="K144" t="s">
        <v>4</v>
      </c>
      <c r="L144" t="s">
        <v>18</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201</v>
      </c>
      <c r="B145" t="s">
        <v>17</v>
      </c>
      <c r="C145">
        <v>2</v>
      </c>
      <c r="D145">
        <v>47.8</v>
      </c>
      <c r="E145">
        <v>95.6</v>
      </c>
      <c r="F145" s="1">
        <v>45663</v>
      </c>
      <c r="G145" s="1">
        <v>45664</v>
      </c>
      <c r="H145" t="s">
        <v>2</v>
      </c>
      <c r="I145" t="s">
        <v>3</v>
      </c>
      <c r="J145">
        <v>4</v>
      </c>
      <c r="K145" t="s">
        <v>4</v>
      </c>
      <c r="L145" t="s">
        <v>18</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202</v>
      </c>
      <c r="B146" t="s">
        <v>31</v>
      </c>
      <c r="C146">
        <v>3</v>
      </c>
      <c r="D146">
        <v>69.400000000000006</v>
      </c>
      <c r="E146">
        <v>208.20000000000002</v>
      </c>
      <c r="F146" s="1">
        <v>45663</v>
      </c>
      <c r="G146" s="1">
        <v>45667</v>
      </c>
      <c r="H146" t="s">
        <v>12</v>
      </c>
      <c r="I146" t="s">
        <v>3</v>
      </c>
      <c r="J146">
        <v>4</v>
      </c>
      <c r="K146" t="s">
        <v>4</v>
      </c>
      <c r="L146" t="s">
        <v>18</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203</v>
      </c>
      <c r="B147" t="s">
        <v>131</v>
      </c>
      <c r="C147">
        <v>12</v>
      </c>
      <c r="D147">
        <v>25.8</v>
      </c>
      <c r="E147">
        <v>309.60000000000002</v>
      </c>
      <c r="F147" s="1">
        <v>45663</v>
      </c>
      <c r="G147" s="1">
        <v>45664</v>
      </c>
      <c r="H147" t="s">
        <v>8</v>
      </c>
      <c r="I147" t="s">
        <v>55</v>
      </c>
      <c r="J147">
        <v>2</v>
      </c>
      <c r="K147" t="s">
        <v>4</v>
      </c>
      <c r="L147" t="s">
        <v>18</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204</v>
      </c>
      <c r="B148" t="s">
        <v>1</v>
      </c>
      <c r="C148">
        <v>4</v>
      </c>
      <c r="D148">
        <v>26.4</v>
      </c>
      <c r="E148">
        <v>105.6</v>
      </c>
      <c r="F148" s="1">
        <v>45663</v>
      </c>
      <c r="G148" s="1">
        <v>45664</v>
      </c>
      <c r="H148" t="s">
        <v>8</v>
      </c>
      <c r="I148" t="s">
        <v>20</v>
      </c>
      <c r="J148">
        <v>5</v>
      </c>
      <c r="K148" t="s">
        <v>4</v>
      </c>
      <c r="L148" t="s">
        <v>18</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205</v>
      </c>
      <c r="B149" t="s">
        <v>29</v>
      </c>
      <c r="C149">
        <v>4</v>
      </c>
      <c r="D149">
        <v>15.7</v>
      </c>
      <c r="E149">
        <v>62.8</v>
      </c>
      <c r="F149" s="1">
        <v>45663</v>
      </c>
      <c r="G149" s="1">
        <v>45664</v>
      </c>
      <c r="H149" t="s">
        <v>8</v>
      </c>
      <c r="I149" t="s">
        <v>25</v>
      </c>
      <c r="J149">
        <v>4</v>
      </c>
      <c r="K149" t="s">
        <v>4</v>
      </c>
      <c r="L149" t="s">
        <v>18</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206</v>
      </c>
      <c r="B150" t="s">
        <v>29</v>
      </c>
      <c r="C150">
        <v>1</v>
      </c>
      <c r="D150">
        <v>39.700000000000003</v>
      </c>
      <c r="E150">
        <v>39.700000000000003</v>
      </c>
      <c r="F150" s="1">
        <v>45663</v>
      </c>
      <c r="G150" s="1">
        <v>45667</v>
      </c>
      <c r="H150" t="s">
        <v>8</v>
      </c>
      <c r="I150" t="s">
        <v>3</v>
      </c>
      <c r="J150">
        <v>4</v>
      </c>
      <c r="K150" t="s">
        <v>4</v>
      </c>
      <c r="L150" t="s">
        <v>18</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207</v>
      </c>
      <c r="B151" t="s">
        <v>39</v>
      </c>
      <c r="C151">
        <v>4</v>
      </c>
      <c r="D151">
        <v>31.1</v>
      </c>
      <c r="E151">
        <v>124.4</v>
      </c>
      <c r="F151" s="1">
        <v>45663</v>
      </c>
      <c r="G151" s="1">
        <v>45665</v>
      </c>
      <c r="H151" t="s">
        <v>12</v>
      </c>
      <c r="I151" t="s">
        <v>25</v>
      </c>
      <c r="J151">
        <v>3</v>
      </c>
      <c r="K151" t="s">
        <v>4</v>
      </c>
      <c r="L151" t="s">
        <v>18</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208</v>
      </c>
      <c r="B152" t="s">
        <v>61</v>
      </c>
      <c r="C152">
        <v>15</v>
      </c>
      <c r="D152">
        <v>23.4</v>
      </c>
      <c r="E152">
        <v>351</v>
      </c>
      <c r="F152" s="1">
        <v>45663</v>
      </c>
      <c r="G152" s="1">
        <v>45672</v>
      </c>
      <c r="H152" t="s">
        <v>8</v>
      </c>
      <c r="I152" t="s">
        <v>3</v>
      </c>
      <c r="J152">
        <v>4</v>
      </c>
      <c r="K152" t="s">
        <v>4</v>
      </c>
      <c r="L152" t="s">
        <v>18</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209</v>
      </c>
      <c r="B153" t="s">
        <v>7</v>
      </c>
      <c r="C153">
        <v>4</v>
      </c>
      <c r="D153">
        <v>57.1</v>
      </c>
      <c r="E153">
        <v>228.4</v>
      </c>
      <c r="F153" s="1">
        <v>45664</v>
      </c>
      <c r="G153" s="1">
        <v>45665</v>
      </c>
      <c r="H153" t="s">
        <v>8</v>
      </c>
      <c r="I153" t="s">
        <v>25</v>
      </c>
      <c r="J153">
        <v>4</v>
      </c>
      <c r="K153" t="s">
        <v>4</v>
      </c>
      <c r="L153" t="s">
        <v>173</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210</v>
      </c>
      <c r="B154" t="s">
        <v>11</v>
      </c>
      <c r="C154">
        <v>5</v>
      </c>
      <c r="D154">
        <v>89.9</v>
      </c>
      <c r="E154">
        <v>449.5</v>
      </c>
      <c r="F154" s="1">
        <v>45664</v>
      </c>
      <c r="G154" s="1">
        <v>45664</v>
      </c>
      <c r="H154" t="s">
        <v>12</v>
      </c>
      <c r="I154" t="s">
        <v>3</v>
      </c>
      <c r="J154">
        <v>1</v>
      </c>
      <c r="K154" t="s">
        <v>4</v>
      </c>
      <c r="L154" t="s">
        <v>143</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211</v>
      </c>
      <c r="B155" t="s">
        <v>39</v>
      </c>
      <c r="C155">
        <v>7</v>
      </c>
      <c r="D155">
        <v>48.1</v>
      </c>
      <c r="E155">
        <v>336.7</v>
      </c>
      <c r="F155" s="1">
        <v>45664</v>
      </c>
      <c r="G155" s="1">
        <v>45666</v>
      </c>
      <c r="H155" t="s">
        <v>12</v>
      </c>
      <c r="I155" t="s">
        <v>20</v>
      </c>
      <c r="J155">
        <v>5</v>
      </c>
      <c r="K155" t="s">
        <v>4</v>
      </c>
      <c r="L155" t="s">
        <v>40</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212</v>
      </c>
      <c r="B156" t="s">
        <v>29</v>
      </c>
      <c r="C156">
        <v>2</v>
      </c>
      <c r="D156">
        <v>29.3</v>
      </c>
      <c r="E156">
        <v>58.6</v>
      </c>
      <c r="F156" s="1">
        <v>45664</v>
      </c>
      <c r="G156" s="1">
        <v>45664</v>
      </c>
      <c r="H156" t="s">
        <v>12</v>
      </c>
      <c r="I156" t="s">
        <v>20</v>
      </c>
      <c r="J156">
        <v>3</v>
      </c>
      <c r="K156" t="s">
        <v>4</v>
      </c>
      <c r="L156" t="s">
        <v>40</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213</v>
      </c>
      <c r="B157" t="s">
        <v>29</v>
      </c>
      <c r="C157">
        <v>4</v>
      </c>
      <c r="D157">
        <v>28.8</v>
      </c>
      <c r="E157">
        <v>115.2</v>
      </c>
      <c r="F157" s="1">
        <v>45664</v>
      </c>
      <c r="G157" s="1">
        <v>45665</v>
      </c>
      <c r="H157" t="s">
        <v>12</v>
      </c>
      <c r="I157" t="s">
        <v>3</v>
      </c>
      <c r="J157">
        <v>2</v>
      </c>
      <c r="K157" t="s">
        <v>4</v>
      </c>
      <c r="L157" t="s">
        <v>40</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214</v>
      </c>
      <c r="B158" t="s">
        <v>39</v>
      </c>
      <c r="C158">
        <v>5</v>
      </c>
      <c r="D158">
        <v>40.5</v>
      </c>
      <c r="E158">
        <v>202.5</v>
      </c>
      <c r="F158" s="1">
        <v>45664</v>
      </c>
      <c r="G158" s="1">
        <v>45668</v>
      </c>
      <c r="H158" t="s">
        <v>12</v>
      </c>
      <c r="I158" t="s">
        <v>36</v>
      </c>
      <c r="J158">
        <v>4</v>
      </c>
      <c r="K158" t="s">
        <v>4</v>
      </c>
      <c r="L158" t="s">
        <v>40</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215</v>
      </c>
      <c r="B159" t="s">
        <v>131</v>
      </c>
      <c r="C159">
        <v>14</v>
      </c>
      <c r="D159">
        <v>65.099999999999994</v>
      </c>
      <c r="E159">
        <v>911.39999999999986</v>
      </c>
      <c r="F159" s="1">
        <v>45664</v>
      </c>
      <c r="G159" s="1">
        <v>45665</v>
      </c>
      <c r="H159" t="s">
        <v>12</v>
      </c>
      <c r="I159" t="s">
        <v>55</v>
      </c>
      <c r="J159">
        <v>4</v>
      </c>
      <c r="K159" t="s">
        <v>4</v>
      </c>
      <c r="L159" t="s">
        <v>44</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216</v>
      </c>
      <c r="B160" t="s">
        <v>29</v>
      </c>
      <c r="C160">
        <v>4</v>
      </c>
      <c r="D160">
        <v>40.299999999999997</v>
      </c>
      <c r="E160">
        <v>161.19999999999999</v>
      </c>
      <c r="F160" s="1">
        <v>45664</v>
      </c>
      <c r="G160" s="1">
        <v>45669</v>
      </c>
      <c r="H160" t="s">
        <v>12</v>
      </c>
      <c r="I160" t="s">
        <v>25</v>
      </c>
      <c r="J160">
        <v>4</v>
      </c>
      <c r="K160" t="s">
        <v>4</v>
      </c>
      <c r="L160" t="s">
        <v>44</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217</v>
      </c>
      <c r="B161" t="s">
        <v>24</v>
      </c>
      <c r="C161">
        <v>5</v>
      </c>
      <c r="D161">
        <v>51.8</v>
      </c>
      <c r="E161">
        <v>259</v>
      </c>
      <c r="F161" s="1">
        <v>45664</v>
      </c>
      <c r="G161" s="1">
        <v>45665</v>
      </c>
      <c r="H161" t="s">
        <v>8</v>
      </c>
      <c r="I161" t="s">
        <v>25</v>
      </c>
      <c r="J161">
        <v>5</v>
      </c>
      <c r="K161" t="s">
        <v>4</v>
      </c>
      <c r="L161" t="s">
        <v>47</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218</v>
      </c>
      <c r="B162" t="s">
        <v>24</v>
      </c>
      <c r="C162">
        <v>3</v>
      </c>
      <c r="D162">
        <v>61.3</v>
      </c>
      <c r="E162">
        <v>183.89999999999998</v>
      </c>
      <c r="F162" s="1">
        <v>45664</v>
      </c>
      <c r="G162" s="1">
        <v>45665</v>
      </c>
      <c r="H162" t="s">
        <v>12</v>
      </c>
      <c r="I162" t="s">
        <v>36</v>
      </c>
      <c r="J162">
        <v>4</v>
      </c>
      <c r="K162" t="s">
        <v>4</v>
      </c>
      <c r="L162" t="s">
        <v>47</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219</v>
      </c>
      <c r="B163" t="s">
        <v>11</v>
      </c>
      <c r="C163">
        <v>4</v>
      </c>
      <c r="D163">
        <v>122.5</v>
      </c>
      <c r="E163">
        <v>490</v>
      </c>
      <c r="F163" s="1">
        <v>45664</v>
      </c>
      <c r="G163" s="1">
        <v>45665</v>
      </c>
      <c r="H163" t="s">
        <v>8</v>
      </c>
      <c r="I163" t="s">
        <v>3</v>
      </c>
      <c r="J163">
        <v>4</v>
      </c>
      <c r="K163" t="s">
        <v>4</v>
      </c>
      <c r="L163" t="s">
        <v>47</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220</v>
      </c>
      <c r="B164" t="s">
        <v>1</v>
      </c>
      <c r="C164">
        <v>9</v>
      </c>
      <c r="D164">
        <v>12.5</v>
      </c>
      <c r="E164">
        <v>112.5</v>
      </c>
      <c r="F164" s="1">
        <v>45664</v>
      </c>
      <c r="G164" s="1">
        <v>45665</v>
      </c>
      <c r="H164" t="s">
        <v>2</v>
      </c>
      <c r="I164" t="s">
        <v>20</v>
      </c>
      <c r="J164">
        <v>5</v>
      </c>
      <c r="K164" t="s">
        <v>4</v>
      </c>
      <c r="L164" t="s">
        <v>47</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221</v>
      </c>
      <c r="B165" t="s">
        <v>108</v>
      </c>
      <c r="C165">
        <v>8</v>
      </c>
      <c r="D165">
        <v>37.5</v>
      </c>
      <c r="E165">
        <v>300</v>
      </c>
      <c r="F165" s="1">
        <v>45664</v>
      </c>
      <c r="G165" s="1">
        <v>45665</v>
      </c>
      <c r="H165" t="s">
        <v>12</v>
      </c>
      <c r="I165" t="s">
        <v>3</v>
      </c>
      <c r="J165">
        <v>4</v>
      </c>
      <c r="K165" t="s">
        <v>4</v>
      </c>
      <c r="L165" t="s">
        <v>57</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222</v>
      </c>
      <c r="B166" t="s">
        <v>24</v>
      </c>
      <c r="C166">
        <v>3</v>
      </c>
      <c r="D166">
        <v>40</v>
      </c>
      <c r="E166">
        <v>120</v>
      </c>
      <c r="F166" s="1">
        <v>45664</v>
      </c>
      <c r="G166" s="1">
        <v>45667</v>
      </c>
      <c r="H166" t="s">
        <v>8</v>
      </c>
      <c r="I166" t="s">
        <v>3</v>
      </c>
      <c r="J166">
        <v>2</v>
      </c>
      <c r="K166" t="s">
        <v>4</v>
      </c>
      <c r="L166" t="s">
        <v>62</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223</v>
      </c>
      <c r="B167" t="s">
        <v>120</v>
      </c>
      <c r="C167">
        <v>8</v>
      </c>
      <c r="D167">
        <v>38.5</v>
      </c>
      <c r="E167">
        <v>308</v>
      </c>
      <c r="F167" s="1">
        <v>45664</v>
      </c>
      <c r="G167" s="1">
        <v>45669</v>
      </c>
      <c r="H167" t="s">
        <v>12</v>
      </c>
      <c r="I167" t="s">
        <v>25</v>
      </c>
      <c r="J167">
        <v>3</v>
      </c>
      <c r="K167" t="s">
        <v>4</v>
      </c>
      <c r="L167" t="s">
        <v>62</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224</v>
      </c>
      <c r="B168" t="s">
        <v>11</v>
      </c>
      <c r="C168">
        <v>2</v>
      </c>
      <c r="D168">
        <v>86.4</v>
      </c>
      <c r="E168">
        <v>172.8</v>
      </c>
      <c r="F168" s="1">
        <v>45664</v>
      </c>
      <c r="G168" s="1">
        <v>45666</v>
      </c>
      <c r="H168" t="s">
        <v>12</v>
      </c>
      <c r="I168" t="s">
        <v>3</v>
      </c>
      <c r="J168">
        <v>4</v>
      </c>
      <c r="K168" t="s">
        <v>4</v>
      </c>
      <c r="L168" t="s">
        <v>93</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225</v>
      </c>
      <c r="B169" t="s">
        <v>39</v>
      </c>
      <c r="C169">
        <v>1</v>
      </c>
      <c r="D169">
        <v>50.7</v>
      </c>
      <c r="E169">
        <v>50.7</v>
      </c>
      <c r="F169" s="1">
        <v>45664</v>
      </c>
      <c r="G169" s="1">
        <v>45668</v>
      </c>
      <c r="H169" t="s">
        <v>12</v>
      </c>
      <c r="I169" t="s">
        <v>20</v>
      </c>
      <c r="J169">
        <v>4</v>
      </c>
      <c r="K169" t="s">
        <v>4</v>
      </c>
      <c r="L169" t="s">
        <v>93</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226</v>
      </c>
      <c r="B170" t="s">
        <v>39</v>
      </c>
      <c r="C170">
        <v>2</v>
      </c>
      <c r="D170">
        <v>61</v>
      </c>
      <c r="E170">
        <v>122</v>
      </c>
      <c r="F170" s="1">
        <v>45664</v>
      </c>
      <c r="G170" s="1">
        <v>45675</v>
      </c>
      <c r="H170" t="s">
        <v>12</v>
      </c>
      <c r="I170" t="s">
        <v>55</v>
      </c>
      <c r="J170">
        <v>3</v>
      </c>
      <c r="K170" t="s">
        <v>4</v>
      </c>
      <c r="L170" t="s">
        <v>93</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227</v>
      </c>
      <c r="B171" t="s">
        <v>17</v>
      </c>
      <c r="C171">
        <v>2</v>
      </c>
      <c r="D171">
        <v>19.899999999999999</v>
      </c>
      <c r="E171">
        <v>39.799999999999997</v>
      </c>
      <c r="F171" s="1">
        <v>45664</v>
      </c>
      <c r="G171" s="1">
        <v>45667</v>
      </c>
      <c r="H171" t="s">
        <v>12</v>
      </c>
      <c r="I171" t="s">
        <v>20</v>
      </c>
      <c r="J171">
        <v>4</v>
      </c>
      <c r="K171" t="s">
        <v>4</v>
      </c>
      <c r="L171" t="s">
        <v>228</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229</v>
      </c>
      <c r="B172" t="s">
        <v>22</v>
      </c>
      <c r="C172">
        <v>1</v>
      </c>
      <c r="D172">
        <v>78.3</v>
      </c>
      <c r="E172">
        <v>78.3</v>
      </c>
      <c r="F172" s="1">
        <v>45664</v>
      </c>
      <c r="G172" s="1">
        <v>45664</v>
      </c>
      <c r="H172" t="s">
        <v>12</v>
      </c>
      <c r="I172" t="s">
        <v>3</v>
      </c>
      <c r="J172">
        <v>5</v>
      </c>
      <c r="K172" t="s">
        <v>4</v>
      </c>
      <c r="L172" t="s">
        <v>9</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230</v>
      </c>
      <c r="B173" t="s">
        <v>1</v>
      </c>
      <c r="C173">
        <v>19</v>
      </c>
      <c r="D173">
        <v>10.4</v>
      </c>
      <c r="E173">
        <v>197.6</v>
      </c>
      <c r="F173" s="1">
        <v>45664</v>
      </c>
      <c r="G173" s="1">
        <v>45666</v>
      </c>
      <c r="H173" t="s">
        <v>8</v>
      </c>
      <c r="I173" t="s">
        <v>3</v>
      </c>
      <c r="J173">
        <v>5</v>
      </c>
      <c r="K173" t="s">
        <v>4</v>
      </c>
      <c r="L173" t="s">
        <v>13</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231</v>
      </c>
      <c r="B174" t="s">
        <v>39</v>
      </c>
      <c r="C174">
        <v>1</v>
      </c>
      <c r="D174">
        <v>36.1</v>
      </c>
      <c r="E174">
        <v>36.1</v>
      </c>
      <c r="F174" s="1">
        <v>45664</v>
      </c>
      <c r="G174" s="1">
        <v>45667</v>
      </c>
      <c r="H174" t="s">
        <v>8</v>
      </c>
      <c r="I174" t="s">
        <v>36</v>
      </c>
      <c r="J174">
        <v>5</v>
      </c>
      <c r="K174" t="s">
        <v>4</v>
      </c>
      <c r="L174" t="s">
        <v>18</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232</v>
      </c>
      <c r="B175" t="s">
        <v>66</v>
      </c>
      <c r="C175">
        <v>2</v>
      </c>
      <c r="D175">
        <v>17.3</v>
      </c>
      <c r="E175">
        <v>34.6</v>
      </c>
      <c r="F175" s="1">
        <v>45664</v>
      </c>
      <c r="G175" s="1">
        <v>45666</v>
      </c>
      <c r="H175" t="s">
        <v>12</v>
      </c>
      <c r="I175" t="s">
        <v>20</v>
      </c>
      <c r="J175">
        <v>5</v>
      </c>
      <c r="K175" t="s">
        <v>4</v>
      </c>
      <c r="L175" t="s">
        <v>18</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233</v>
      </c>
      <c r="B176" t="s">
        <v>39</v>
      </c>
      <c r="C176">
        <v>2</v>
      </c>
      <c r="D176">
        <v>30.5</v>
      </c>
      <c r="E176">
        <v>61</v>
      </c>
      <c r="F176" s="1">
        <v>45664</v>
      </c>
      <c r="G176" s="1">
        <v>45665</v>
      </c>
      <c r="H176" t="s">
        <v>12</v>
      </c>
      <c r="I176" t="s">
        <v>20</v>
      </c>
      <c r="J176">
        <v>5</v>
      </c>
      <c r="K176" t="s">
        <v>4</v>
      </c>
      <c r="L176" t="s">
        <v>18</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234</v>
      </c>
      <c r="B177" t="s">
        <v>131</v>
      </c>
      <c r="C177">
        <v>62</v>
      </c>
      <c r="D177">
        <v>70.099999999999994</v>
      </c>
      <c r="E177">
        <v>4346.2</v>
      </c>
      <c r="F177" s="1">
        <v>45664</v>
      </c>
      <c r="G177" s="1">
        <v>45664</v>
      </c>
      <c r="H177" t="s">
        <v>12</v>
      </c>
      <c r="I177" t="s">
        <v>25</v>
      </c>
      <c r="J177">
        <v>4</v>
      </c>
      <c r="K177" t="s">
        <v>4</v>
      </c>
      <c r="L177" t="s">
        <v>18</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235</v>
      </c>
      <c r="B178" t="s">
        <v>15</v>
      </c>
      <c r="C178">
        <v>1</v>
      </c>
      <c r="D178">
        <v>76.099999999999994</v>
      </c>
      <c r="E178">
        <v>76.099999999999994</v>
      </c>
      <c r="F178" s="1">
        <v>45664</v>
      </c>
      <c r="G178" s="1">
        <v>45664</v>
      </c>
      <c r="H178" t="s">
        <v>12</v>
      </c>
      <c r="I178" t="s">
        <v>25</v>
      </c>
      <c r="J178">
        <v>3</v>
      </c>
      <c r="K178" t="s">
        <v>4</v>
      </c>
      <c r="L178" t="s">
        <v>18</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236</v>
      </c>
      <c r="B179" t="s">
        <v>108</v>
      </c>
      <c r="C179">
        <v>13</v>
      </c>
      <c r="D179">
        <v>34.200000000000003</v>
      </c>
      <c r="E179">
        <v>444.6</v>
      </c>
      <c r="F179" s="1">
        <v>45664</v>
      </c>
      <c r="G179" s="1">
        <v>45665</v>
      </c>
      <c r="H179" t="s">
        <v>8</v>
      </c>
      <c r="I179" t="s">
        <v>3</v>
      </c>
      <c r="J179">
        <v>4</v>
      </c>
      <c r="K179" t="s">
        <v>4</v>
      </c>
      <c r="L179" t="s">
        <v>18</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237</v>
      </c>
      <c r="B180" t="s">
        <v>29</v>
      </c>
      <c r="C180">
        <v>5</v>
      </c>
      <c r="D180">
        <v>30.3</v>
      </c>
      <c r="E180">
        <v>151.5</v>
      </c>
      <c r="F180" s="1">
        <v>45664</v>
      </c>
      <c r="G180" s="1">
        <v>45669</v>
      </c>
      <c r="H180" t="s">
        <v>12</v>
      </c>
      <c r="I180" t="s">
        <v>55</v>
      </c>
      <c r="J180">
        <v>4</v>
      </c>
      <c r="K180" t="s">
        <v>4</v>
      </c>
      <c r="L180" t="s">
        <v>18</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238</v>
      </c>
      <c r="B181" t="s">
        <v>24</v>
      </c>
      <c r="C181">
        <v>5</v>
      </c>
      <c r="D181">
        <v>52.5</v>
      </c>
      <c r="E181">
        <v>262.5</v>
      </c>
      <c r="F181" s="1">
        <v>45664</v>
      </c>
      <c r="G181" s="1">
        <v>45668</v>
      </c>
      <c r="H181" t="s">
        <v>2</v>
      </c>
      <c r="I181" t="s">
        <v>36</v>
      </c>
      <c r="J181">
        <v>4</v>
      </c>
      <c r="K181" t="s">
        <v>4</v>
      </c>
      <c r="L181" t="s">
        <v>18</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239</v>
      </c>
      <c r="B182" t="s">
        <v>31</v>
      </c>
      <c r="C182">
        <v>11</v>
      </c>
      <c r="D182">
        <v>28.7</v>
      </c>
      <c r="E182">
        <v>315.7</v>
      </c>
      <c r="F182" s="1">
        <v>45664</v>
      </c>
      <c r="G182" s="1">
        <v>45665</v>
      </c>
      <c r="H182" t="s">
        <v>12</v>
      </c>
      <c r="I182" t="s">
        <v>25</v>
      </c>
      <c r="J182">
        <v>4</v>
      </c>
      <c r="K182" t="s">
        <v>4</v>
      </c>
      <c r="L182" t="s">
        <v>18</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240</v>
      </c>
      <c r="B183" t="s">
        <v>27</v>
      </c>
      <c r="C183">
        <v>7</v>
      </c>
      <c r="D183">
        <v>52</v>
      </c>
      <c r="E183">
        <v>364</v>
      </c>
      <c r="F183" s="1">
        <v>45664</v>
      </c>
      <c r="G183" s="1">
        <v>45665</v>
      </c>
      <c r="H183" t="s">
        <v>8</v>
      </c>
      <c r="I183" t="s">
        <v>20</v>
      </c>
      <c r="J183">
        <v>2</v>
      </c>
      <c r="K183" t="s">
        <v>4</v>
      </c>
      <c r="L183" t="s">
        <v>18</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241</v>
      </c>
      <c r="B184" t="s">
        <v>1</v>
      </c>
      <c r="C184">
        <v>1</v>
      </c>
      <c r="D184">
        <v>13.3</v>
      </c>
      <c r="E184">
        <v>13.3</v>
      </c>
      <c r="F184" s="1">
        <v>45665</v>
      </c>
      <c r="G184" s="1">
        <v>45669</v>
      </c>
      <c r="H184" t="s">
        <v>12</v>
      </c>
      <c r="I184" t="s">
        <v>25</v>
      </c>
      <c r="J184">
        <v>3</v>
      </c>
      <c r="K184" t="s">
        <v>4</v>
      </c>
      <c r="L184" t="s">
        <v>18</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242</v>
      </c>
      <c r="B185" t="s">
        <v>1</v>
      </c>
      <c r="C185">
        <v>3</v>
      </c>
      <c r="D185">
        <v>15.7</v>
      </c>
      <c r="E185">
        <v>47.099999999999994</v>
      </c>
      <c r="F185" s="1">
        <v>45665</v>
      </c>
      <c r="G185" s="1">
        <v>45666</v>
      </c>
      <c r="H185" t="s">
        <v>12</v>
      </c>
      <c r="I185" t="s">
        <v>20</v>
      </c>
      <c r="J185">
        <v>4</v>
      </c>
      <c r="K185" t="s">
        <v>4</v>
      </c>
      <c r="L185" t="s">
        <v>243</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244</v>
      </c>
      <c r="B186" t="s">
        <v>29</v>
      </c>
      <c r="C186">
        <v>2</v>
      </c>
      <c r="D186">
        <v>25.6</v>
      </c>
      <c r="E186">
        <v>51.2</v>
      </c>
      <c r="F186" s="1">
        <v>45665</v>
      </c>
      <c r="G186" s="1">
        <v>45666</v>
      </c>
      <c r="H186" t="s">
        <v>8</v>
      </c>
      <c r="I186" t="s">
        <v>3</v>
      </c>
      <c r="J186">
        <v>5</v>
      </c>
      <c r="K186" t="s">
        <v>4</v>
      </c>
      <c r="L186" t="s">
        <v>143</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245</v>
      </c>
      <c r="B187" t="s">
        <v>29</v>
      </c>
      <c r="C187">
        <v>1</v>
      </c>
      <c r="D187">
        <v>43.4</v>
      </c>
      <c r="E187">
        <v>43.4</v>
      </c>
      <c r="F187" s="1">
        <v>45665</v>
      </c>
      <c r="G187" s="1">
        <v>45670</v>
      </c>
      <c r="H187" t="s">
        <v>8</v>
      </c>
      <c r="I187" t="s">
        <v>3</v>
      </c>
      <c r="J187">
        <v>4</v>
      </c>
      <c r="K187" t="s">
        <v>4</v>
      </c>
      <c r="L187" t="s">
        <v>40</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246</v>
      </c>
      <c r="B188" t="s">
        <v>52</v>
      </c>
      <c r="C188">
        <v>9</v>
      </c>
      <c r="D188">
        <v>33.4</v>
      </c>
      <c r="E188">
        <v>300.59999999999997</v>
      </c>
      <c r="F188" s="1">
        <v>45665</v>
      </c>
      <c r="G188" s="1">
        <v>45665</v>
      </c>
      <c r="H188" t="s">
        <v>12</v>
      </c>
      <c r="I188" t="s">
        <v>3</v>
      </c>
      <c r="J188">
        <v>4</v>
      </c>
      <c r="K188" t="s">
        <v>4</v>
      </c>
      <c r="L188" t="s">
        <v>47</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247</v>
      </c>
      <c r="B189" t="s">
        <v>29</v>
      </c>
      <c r="C189">
        <v>19</v>
      </c>
      <c r="D189">
        <v>55</v>
      </c>
      <c r="E189">
        <v>1045</v>
      </c>
      <c r="F189" s="1">
        <v>45665</v>
      </c>
      <c r="G189" s="1">
        <v>45666</v>
      </c>
      <c r="H189" t="s">
        <v>12</v>
      </c>
      <c r="I189" t="s">
        <v>20</v>
      </c>
      <c r="J189">
        <v>5</v>
      </c>
      <c r="K189" t="s">
        <v>4</v>
      </c>
      <c r="L189" t="s">
        <v>47</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248</v>
      </c>
      <c r="B190" t="s">
        <v>29</v>
      </c>
      <c r="C190">
        <v>3</v>
      </c>
      <c r="D190">
        <v>23.6</v>
      </c>
      <c r="E190">
        <v>70.800000000000011</v>
      </c>
      <c r="F190" s="1">
        <v>45665</v>
      </c>
      <c r="G190" s="1">
        <v>45666</v>
      </c>
      <c r="H190" t="s">
        <v>8</v>
      </c>
      <c r="I190" t="s">
        <v>3</v>
      </c>
      <c r="J190">
        <v>5</v>
      </c>
      <c r="K190" t="s">
        <v>4</v>
      </c>
      <c r="L190" t="s">
        <v>47</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249</v>
      </c>
      <c r="B191" t="s">
        <v>54</v>
      </c>
      <c r="C191">
        <v>9</v>
      </c>
      <c r="D191">
        <v>104</v>
      </c>
      <c r="E191">
        <v>936</v>
      </c>
      <c r="F191" s="1">
        <v>45665</v>
      </c>
      <c r="G191" s="1">
        <v>45667</v>
      </c>
      <c r="H191" t="s">
        <v>12</v>
      </c>
      <c r="I191" t="s">
        <v>25</v>
      </c>
      <c r="J191">
        <v>5</v>
      </c>
      <c r="K191" t="s">
        <v>4</v>
      </c>
      <c r="L191" t="s">
        <v>88</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250</v>
      </c>
      <c r="B192" t="s">
        <v>24</v>
      </c>
      <c r="C192">
        <v>2</v>
      </c>
      <c r="D192">
        <v>51.8</v>
      </c>
      <c r="E192">
        <v>103.6</v>
      </c>
      <c r="F192" s="1">
        <v>45665</v>
      </c>
      <c r="G192" s="1">
        <v>45669</v>
      </c>
      <c r="H192" t="s">
        <v>2</v>
      </c>
      <c r="I192" t="s">
        <v>3</v>
      </c>
      <c r="J192">
        <v>5</v>
      </c>
      <c r="K192" t="s">
        <v>4</v>
      </c>
      <c r="L192" t="s">
        <v>59</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251</v>
      </c>
      <c r="B193" t="s">
        <v>39</v>
      </c>
      <c r="C193">
        <v>5</v>
      </c>
      <c r="D193">
        <v>34.5</v>
      </c>
      <c r="E193">
        <v>172.5</v>
      </c>
      <c r="F193" s="1">
        <v>45665</v>
      </c>
      <c r="G193" s="1">
        <v>45667</v>
      </c>
      <c r="H193" t="s">
        <v>2</v>
      </c>
      <c r="I193" t="s">
        <v>25</v>
      </c>
      <c r="J193">
        <v>5</v>
      </c>
      <c r="K193" t="s">
        <v>4</v>
      </c>
      <c r="L193" t="s">
        <v>62</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252</v>
      </c>
      <c r="B194" t="s">
        <v>24</v>
      </c>
      <c r="C194">
        <v>2</v>
      </c>
      <c r="D194">
        <v>51.8</v>
      </c>
      <c r="E194">
        <v>103.6</v>
      </c>
      <c r="F194" s="1">
        <v>45665</v>
      </c>
      <c r="G194" s="1">
        <v>45667</v>
      </c>
      <c r="H194" t="s">
        <v>8</v>
      </c>
      <c r="I194" t="s">
        <v>20</v>
      </c>
      <c r="J194">
        <v>5</v>
      </c>
      <c r="K194" t="s">
        <v>4</v>
      </c>
      <c r="L194" t="s">
        <v>253</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254</v>
      </c>
      <c r="B195" t="s">
        <v>131</v>
      </c>
      <c r="C195">
        <v>43</v>
      </c>
      <c r="D195">
        <v>131.5</v>
      </c>
      <c r="E195">
        <v>5654.5</v>
      </c>
      <c r="F195" s="1">
        <v>45665</v>
      </c>
      <c r="G195" s="1">
        <v>45666</v>
      </c>
      <c r="H195" t="s">
        <v>12</v>
      </c>
      <c r="I195" t="s">
        <v>3</v>
      </c>
      <c r="J195">
        <v>5</v>
      </c>
      <c r="K195" t="s">
        <v>4</v>
      </c>
      <c r="L195" t="s">
        <v>93</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255</v>
      </c>
      <c r="B196" t="s">
        <v>29</v>
      </c>
      <c r="C196">
        <v>7</v>
      </c>
      <c r="D196">
        <v>47.8</v>
      </c>
      <c r="E196">
        <v>334.59999999999997</v>
      </c>
      <c r="F196" s="1">
        <v>45665</v>
      </c>
      <c r="G196" s="1">
        <v>45665</v>
      </c>
      <c r="H196" t="s">
        <v>12</v>
      </c>
      <c r="I196" t="s">
        <v>3</v>
      </c>
      <c r="J196">
        <v>4</v>
      </c>
      <c r="K196" t="s">
        <v>4</v>
      </c>
      <c r="L196" t="s">
        <v>95</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256</v>
      </c>
      <c r="B197" t="s">
        <v>1</v>
      </c>
      <c r="C197">
        <v>2</v>
      </c>
      <c r="D197">
        <v>10.199999999999999</v>
      </c>
      <c r="E197">
        <v>20.399999999999999</v>
      </c>
      <c r="F197" s="1">
        <v>45665</v>
      </c>
      <c r="G197" s="1">
        <v>45667</v>
      </c>
      <c r="H197" t="s">
        <v>12</v>
      </c>
      <c r="I197" t="s">
        <v>3</v>
      </c>
      <c r="J197">
        <v>4</v>
      </c>
      <c r="K197" t="s">
        <v>4</v>
      </c>
      <c r="L197" t="s">
        <v>95</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257</v>
      </c>
      <c r="B198" t="s">
        <v>29</v>
      </c>
      <c r="C198">
        <v>8</v>
      </c>
      <c r="D198">
        <v>41</v>
      </c>
      <c r="E198">
        <v>328</v>
      </c>
      <c r="F198" s="1">
        <v>45665</v>
      </c>
      <c r="G198" s="1">
        <v>45665</v>
      </c>
      <c r="H198" t="s">
        <v>12</v>
      </c>
      <c r="I198" t="s">
        <v>20</v>
      </c>
      <c r="J198">
        <v>5</v>
      </c>
      <c r="K198" t="s">
        <v>4</v>
      </c>
      <c r="L198" t="s">
        <v>95</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258</v>
      </c>
      <c r="B199" t="s">
        <v>39</v>
      </c>
      <c r="C199">
        <v>7</v>
      </c>
      <c r="D199">
        <v>50.8</v>
      </c>
      <c r="E199">
        <v>355.59999999999997</v>
      </c>
      <c r="F199" s="1">
        <v>45665</v>
      </c>
      <c r="G199" s="1">
        <v>45668</v>
      </c>
      <c r="H199" t="s">
        <v>12</v>
      </c>
      <c r="I199" t="s">
        <v>20</v>
      </c>
      <c r="J199">
        <v>4</v>
      </c>
      <c r="K199" t="s">
        <v>4</v>
      </c>
      <c r="L199" t="s">
        <v>100</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259</v>
      </c>
      <c r="B200" t="s">
        <v>131</v>
      </c>
      <c r="C200">
        <v>3</v>
      </c>
      <c r="D200">
        <v>39.6</v>
      </c>
      <c r="E200">
        <v>118.80000000000001</v>
      </c>
      <c r="F200" s="1">
        <v>45665</v>
      </c>
      <c r="G200" s="1">
        <v>45666</v>
      </c>
      <c r="H200" t="s">
        <v>8</v>
      </c>
      <c r="I200" t="s">
        <v>25</v>
      </c>
      <c r="J200">
        <v>5</v>
      </c>
      <c r="K200" t="s">
        <v>4</v>
      </c>
      <c r="L200" t="s">
        <v>9</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260</v>
      </c>
      <c r="B201" t="s">
        <v>22</v>
      </c>
      <c r="C201">
        <v>2</v>
      </c>
      <c r="D201">
        <v>69.5</v>
      </c>
      <c r="E201">
        <v>139</v>
      </c>
      <c r="F201" s="1">
        <v>45665</v>
      </c>
      <c r="G201" s="1">
        <v>45667</v>
      </c>
      <c r="H201" t="s">
        <v>8</v>
      </c>
      <c r="I201" t="s">
        <v>3</v>
      </c>
      <c r="J201">
        <v>5</v>
      </c>
      <c r="K201" t="s">
        <v>4</v>
      </c>
      <c r="L201" t="s">
        <v>13</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261</v>
      </c>
      <c r="B202" t="s">
        <v>29</v>
      </c>
      <c r="C202">
        <v>8</v>
      </c>
      <c r="D202">
        <v>32.6</v>
      </c>
      <c r="E202">
        <v>260.8</v>
      </c>
      <c r="F202" s="1">
        <v>45665</v>
      </c>
      <c r="G202" s="1">
        <v>45668</v>
      </c>
      <c r="H202" t="s">
        <v>8</v>
      </c>
      <c r="I202" t="s">
        <v>20</v>
      </c>
      <c r="J202">
        <v>4</v>
      </c>
      <c r="K202" t="s">
        <v>4</v>
      </c>
      <c r="L202" t="s">
        <v>18</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262</v>
      </c>
      <c r="B203" t="s">
        <v>27</v>
      </c>
      <c r="C203">
        <v>2</v>
      </c>
      <c r="D203">
        <v>49.1</v>
      </c>
      <c r="E203">
        <v>98.2</v>
      </c>
      <c r="F203" s="1">
        <v>45665</v>
      </c>
      <c r="G203" s="1">
        <v>45673</v>
      </c>
      <c r="H203" t="s">
        <v>8</v>
      </c>
      <c r="I203" t="s">
        <v>36</v>
      </c>
      <c r="J203">
        <v>5</v>
      </c>
      <c r="K203" t="s">
        <v>4</v>
      </c>
      <c r="L203" t="s">
        <v>18</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263</v>
      </c>
      <c r="B204" t="s">
        <v>24</v>
      </c>
      <c r="C204">
        <v>2</v>
      </c>
      <c r="D204">
        <v>49.4</v>
      </c>
      <c r="E204">
        <v>98.8</v>
      </c>
      <c r="F204" s="1">
        <v>45666</v>
      </c>
      <c r="G204" s="1">
        <v>45667</v>
      </c>
      <c r="H204" t="s">
        <v>12</v>
      </c>
      <c r="I204" t="s">
        <v>25</v>
      </c>
      <c r="J204">
        <v>4</v>
      </c>
      <c r="K204" t="s">
        <v>4</v>
      </c>
      <c r="L204" t="s">
        <v>18</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264</v>
      </c>
      <c r="B205" t="s">
        <v>27</v>
      </c>
      <c r="C205">
        <v>7</v>
      </c>
      <c r="D205">
        <v>65.099999999999994</v>
      </c>
      <c r="E205">
        <v>455.69999999999993</v>
      </c>
      <c r="F205" s="1">
        <v>45666</v>
      </c>
      <c r="G205" s="1">
        <v>45669</v>
      </c>
      <c r="H205" t="s">
        <v>12</v>
      </c>
      <c r="I205" t="s">
        <v>25</v>
      </c>
      <c r="J205">
        <v>5</v>
      </c>
      <c r="K205" t="s">
        <v>4</v>
      </c>
      <c r="L205" t="s">
        <v>18</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265</v>
      </c>
      <c r="B206" t="s">
        <v>15</v>
      </c>
      <c r="C206">
        <v>2</v>
      </c>
      <c r="D206">
        <v>52.1</v>
      </c>
      <c r="E206">
        <v>104.2</v>
      </c>
      <c r="F206" s="1">
        <v>45666</v>
      </c>
      <c r="G206" s="1">
        <v>45670</v>
      </c>
      <c r="H206" t="s">
        <v>12</v>
      </c>
      <c r="I206" t="s">
        <v>25</v>
      </c>
      <c r="J206">
        <v>4</v>
      </c>
      <c r="K206" t="s">
        <v>4</v>
      </c>
      <c r="L206" t="s">
        <v>18</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266</v>
      </c>
      <c r="B207" t="s">
        <v>11</v>
      </c>
      <c r="C207">
        <v>4</v>
      </c>
      <c r="D207">
        <v>129.19999999999999</v>
      </c>
      <c r="E207">
        <v>516.79999999999995</v>
      </c>
      <c r="F207" s="1">
        <v>45666</v>
      </c>
      <c r="G207" s="1">
        <v>45667</v>
      </c>
      <c r="H207" t="s">
        <v>12</v>
      </c>
      <c r="I207" t="s">
        <v>20</v>
      </c>
      <c r="J207">
        <v>4</v>
      </c>
      <c r="K207" t="s">
        <v>4</v>
      </c>
      <c r="L207" t="s">
        <v>18</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267</v>
      </c>
      <c r="B208" t="s">
        <v>7</v>
      </c>
      <c r="C208">
        <v>19</v>
      </c>
      <c r="D208">
        <v>81.8</v>
      </c>
      <c r="E208">
        <v>1554.2</v>
      </c>
      <c r="F208" s="1">
        <v>45666</v>
      </c>
      <c r="G208" s="1">
        <v>45666</v>
      </c>
      <c r="H208" t="s">
        <v>12</v>
      </c>
      <c r="I208" t="s">
        <v>20</v>
      </c>
      <c r="J208">
        <v>3</v>
      </c>
      <c r="K208" t="s">
        <v>4</v>
      </c>
      <c r="L208" t="s">
        <v>18</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268</v>
      </c>
      <c r="B209" t="s">
        <v>120</v>
      </c>
      <c r="C209">
        <v>1</v>
      </c>
      <c r="D209">
        <v>24.9</v>
      </c>
      <c r="E209">
        <v>24.9</v>
      </c>
      <c r="F209" s="1">
        <v>45666</v>
      </c>
      <c r="G209" s="1">
        <v>45670</v>
      </c>
      <c r="H209" t="s">
        <v>12</v>
      </c>
      <c r="I209" t="s">
        <v>20</v>
      </c>
      <c r="J209">
        <v>4</v>
      </c>
      <c r="K209" t="s">
        <v>4</v>
      </c>
      <c r="L209" t="s">
        <v>18</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269</v>
      </c>
      <c r="B210" t="s">
        <v>1</v>
      </c>
      <c r="C210">
        <v>3</v>
      </c>
      <c r="D210">
        <v>49.4</v>
      </c>
      <c r="E210">
        <v>148.19999999999999</v>
      </c>
      <c r="F210" s="1">
        <v>45666</v>
      </c>
      <c r="G210" s="1">
        <v>45669</v>
      </c>
      <c r="H210" t="s">
        <v>12</v>
      </c>
      <c r="I210" t="s">
        <v>55</v>
      </c>
      <c r="J210">
        <v>2</v>
      </c>
      <c r="K210" t="s">
        <v>4</v>
      </c>
      <c r="L210" t="s">
        <v>18</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270</v>
      </c>
      <c r="B211" t="s">
        <v>29</v>
      </c>
      <c r="C211">
        <v>2</v>
      </c>
      <c r="D211">
        <v>22.7</v>
      </c>
      <c r="E211">
        <v>45.4</v>
      </c>
      <c r="F211" s="1">
        <v>45666</v>
      </c>
      <c r="G211" s="1">
        <v>45667</v>
      </c>
      <c r="H211" t="s">
        <v>8</v>
      </c>
      <c r="I211" t="s">
        <v>36</v>
      </c>
      <c r="J211">
        <v>5</v>
      </c>
      <c r="K211" t="s">
        <v>4</v>
      </c>
      <c r="L211" t="s">
        <v>18</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271</v>
      </c>
      <c r="B212" t="s">
        <v>7</v>
      </c>
      <c r="C212">
        <v>1</v>
      </c>
      <c r="D212">
        <v>77.3</v>
      </c>
      <c r="E212">
        <v>77.3</v>
      </c>
      <c r="F212" s="1">
        <v>45666</v>
      </c>
      <c r="G212" s="1">
        <v>45666</v>
      </c>
      <c r="H212" t="s">
        <v>12</v>
      </c>
      <c r="I212" t="s">
        <v>3</v>
      </c>
      <c r="J212">
        <v>5</v>
      </c>
      <c r="K212" t="s">
        <v>4</v>
      </c>
      <c r="L212" t="s">
        <v>40</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272</v>
      </c>
      <c r="B213" t="s">
        <v>7</v>
      </c>
      <c r="C213">
        <v>5</v>
      </c>
      <c r="D213">
        <v>109.1</v>
      </c>
      <c r="E213">
        <v>545.5</v>
      </c>
      <c r="F213" s="1">
        <v>45666</v>
      </c>
      <c r="G213" s="1">
        <v>45669</v>
      </c>
      <c r="H213" t="s">
        <v>12</v>
      </c>
      <c r="I213" t="s">
        <v>3</v>
      </c>
      <c r="J213">
        <v>4</v>
      </c>
      <c r="K213" t="s">
        <v>4</v>
      </c>
      <c r="L213" t="s">
        <v>40</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273</v>
      </c>
      <c r="B214" t="s">
        <v>11</v>
      </c>
      <c r="C214">
        <v>4</v>
      </c>
      <c r="D214">
        <v>53.9</v>
      </c>
      <c r="E214">
        <v>215.6</v>
      </c>
      <c r="F214" s="1">
        <v>45666</v>
      </c>
      <c r="G214" s="1">
        <v>45667</v>
      </c>
      <c r="H214" t="s">
        <v>8</v>
      </c>
      <c r="I214" t="s">
        <v>3</v>
      </c>
      <c r="J214">
        <v>3</v>
      </c>
      <c r="K214" t="s">
        <v>4</v>
      </c>
      <c r="L214" t="s">
        <v>47</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274</v>
      </c>
      <c r="B215" t="s">
        <v>31</v>
      </c>
      <c r="C215">
        <v>26</v>
      </c>
      <c r="D215">
        <v>21.2</v>
      </c>
      <c r="E215">
        <v>551.19999999999993</v>
      </c>
      <c r="F215" s="1">
        <v>45666</v>
      </c>
      <c r="G215" s="1">
        <v>45666</v>
      </c>
      <c r="H215" t="s">
        <v>12</v>
      </c>
      <c r="I215" t="s">
        <v>3</v>
      </c>
      <c r="J215">
        <v>4</v>
      </c>
      <c r="K215" t="s">
        <v>4</v>
      </c>
      <c r="L215" t="s">
        <v>57</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275</v>
      </c>
      <c r="B216" t="s">
        <v>113</v>
      </c>
      <c r="C216">
        <v>4</v>
      </c>
      <c r="D216">
        <v>69</v>
      </c>
      <c r="E216">
        <v>276</v>
      </c>
      <c r="F216" s="1">
        <v>45666</v>
      </c>
      <c r="G216" s="1">
        <v>45668</v>
      </c>
      <c r="H216" t="s">
        <v>12</v>
      </c>
      <c r="I216" t="s">
        <v>20</v>
      </c>
      <c r="J216">
        <v>3</v>
      </c>
      <c r="K216" t="s">
        <v>4</v>
      </c>
      <c r="L216" t="s">
        <v>93</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276</v>
      </c>
      <c r="B217" t="s">
        <v>24</v>
      </c>
      <c r="C217">
        <v>3</v>
      </c>
      <c r="D217">
        <v>46.2</v>
      </c>
      <c r="E217">
        <v>138.60000000000002</v>
      </c>
      <c r="F217" s="1">
        <v>45666</v>
      </c>
      <c r="G217" s="1">
        <v>45668</v>
      </c>
      <c r="H217" t="s">
        <v>12</v>
      </c>
      <c r="I217" t="s">
        <v>3</v>
      </c>
      <c r="J217">
        <v>5</v>
      </c>
      <c r="K217" t="s">
        <v>4</v>
      </c>
      <c r="L217" t="s">
        <v>277</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278</v>
      </c>
      <c r="B218" t="s">
        <v>7</v>
      </c>
      <c r="C218">
        <v>5</v>
      </c>
      <c r="D218">
        <v>97.4</v>
      </c>
      <c r="E218">
        <v>487</v>
      </c>
      <c r="F218" s="1">
        <v>45666</v>
      </c>
      <c r="G218" s="1">
        <v>45670</v>
      </c>
      <c r="H218" t="s">
        <v>12</v>
      </c>
      <c r="I218" t="s">
        <v>55</v>
      </c>
      <c r="J218">
        <v>5</v>
      </c>
      <c r="K218" t="s">
        <v>4</v>
      </c>
      <c r="L218" t="s">
        <v>100</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279</v>
      </c>
      <c r="B219" t="s">
        <v>29</v>
      </c>
      <c r="C219">
        <v>5</v>
      </c>
      <c r="D219">
        <v>21</v>
      </c>
      <c r="E219">
        <v>105</v>
      </c>
      <c r="F219" s="1">
        <v>45666</v>
      </c>
      <c r="G219" s="1">
        <v>45667</v>
      </c>
      <c r="H219" t="s">
        <v>8</v>
      </c>
      <c r="I219" t="s">
        <v>3</v>
      </c>
      <c r="J219">
        <v>3</v>
      </c>
      <c r="K219" t="s">
        <v>4</v>
      </c>
      <c r="L219" t="s">
        <v>100</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280</v>
      </c>
      <c r="B220" t="s">
        <v>22</v>
      </c>
      <c r="C220">
        <v>2</v>
      </c>
      <c r="D220">
        <v>32.700000000000003</v>
      </c>
      <c r="E220">
        <v>65.400000000000006</v>
      </c>
      <c r="F220" s="1">
        <v>45667</v>
      </c>
      <c r="G220" s="1">
        <v>45670</v>
      </c>
      <c r="H220" t="s">
        <v>12</v>
      </c>
      <c r="I220" t="s">
        <v>20</v>
      </c>
      <c r="J220">
        <v>4</v>
      </c>
      <c r="K220" t="s">
        <v>4</v>
      </c>
      <c r="L220" t="s">
        <v>13</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281</v>
      </c>
      <c r="B221" t="s">
        <v>24</v>
      </c>
      <c r="C221">
        <v>4</v>
      </c>
      <c r="D221">
        <v>48</v>
      </c>
      <c r="E221">
        <v>192</v>
      </c>
      <c r="F221" s="1">
        <v>45667</v>
      </c>
      <c r="G221" s="1">
        <v>45668</v>
      </c>
      <c r="H221" t="s">
        <v>8</v>
      </c>
      <c r="I221" t="s">
        <v>36</v>
      </c>
      <c r="J221">
        <v>4</v>
      </c>
      <c r="K221" t="s">
        <v>4</v>
      </c>
      <c r="L221" t="s">
        <v>18</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282</v>
      </c>
      <c r="B222" t="s">
        <v>24</v>
      </c>
      <c r="C222">
        <v>3</v>
      </c>
      <c r="D222">
        <v>68.2</v>
      </c>
      <c r="E222">
        <v>204.60000000000002</v>
      </c>
      <c r="F222" s="1">
        <v>45667</v>
      </c>
      <c r="G222" s="1">
        <v>45671</v>
      </c>
      <c r="H222" t="s">
        <v>2</v>
      </c>
      <c r="I222" t="s">
        <v>3</v>
      </c>
      <c r="J222">
        <v>5</v>
      </c>
      <c r="K222" t="s">
        <v>4</v>
      </c>
      <c r="L222" t="s">
        <v>18</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283</v>
      </c>
      <c r="B223" t="s">
        <v>22</v>
      </c>
      <c r="C223">
        <v>1</v>
      </c>
      <c r="D223">
        <v>45.4</v>
      </c>
      <c r="E223">
        <v>45.4</v>
      </c>
      <c r="F223" s="1">
        <v>45667</v>
      </c>
      <c r="G223" s="1">
        <v>45669</v>
      </c>
      <c r="H223" t="s">
        <v>8</v>
      </c>
      <c r="I223" t="s">
        <v>20</v>
      </c>
      <c r="J223">
        <v>4</v>
      </c>
      <c r="K223" t="s">
        <v>4</v>
      </c>
      <c r="L223" t="s">
        <v>18</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284</v>
      </c>
      <c r="B224" t="s">
        <v>54</v>
      </c>
      <c r="C224">
        <v>2</v>
      </c>
      <c r="D224">
        <v>53.9</v>
      </c>
      <c r="E224">
        <v>107.8</v>
      </c>
      <c r="F224" s="1">
        <v>45667</v>
      </c>
      <c r="G224" s="1">
        <v>45668</v>
      </c>
      <c r="H224" t="s">
        <v>12</v>
      </c>
      <c r="I224" t="s">
        <v>25</v>
      </c>
      <c r="J224">
        <v>4</v>
      </c>
      <c r="K224" t="s">
        <v>4</v>
      </c>
      <c r="L224" t="s">
        <v>18</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285</v>
      </c>
      <c r="B225" t="s">
        <v>11</v>
      </c>
      <c r="C225">
        <v>4</v>
      </c>
      <c r="D225">
        <v>62.1</v>
      </c>
      <c r="E225">
        <v>248.4</v>
      </c>
      <c r="F225" s="1">
        <v>45667</v>
      </c>
      <c r="G225" s="1">
        <v>45671</v>
      </c>
      <c r="H225" t="s">
        <v>12</v>
      </c>
      <c r="I225" t="s">
        <v>3</v>
      </c>
      <c r="J225">
        <v>4</v>
      </c>
      <c r="K225" t="s">
        <v>4</v>
      </c>
      <c r="L225" t="s">
        <v>34</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286</v>
      </c>
      <c r="B226" t="s">
        <v>61</v>
      </c>
      <c r="C226">
        <v>7</v>
      </c>
      <c r="D226">
        <v>33.1</v>
      </c>
      <c r="E226">
        <v>231.70000000000002</v>
      </c>
      <c r="F226" s="1">
        <v>45667</v>
      </c>
      <c r="G226" s="1">
        <v>45672</v>
      </c>
      <c r="H226" t="s">
        <v>8</v>
      </c>
      <c r="I226" t="s">
        <v>20</v>
      </c>
      <c r="J226">
        <v>4</v>
      </c>
      <c r="K226" t="s">
        <v>4</v>
      </c>
      <c r="L226" t="s">
        <v>40</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287</v>
      </c>
      <c r="B227" t="s">
        <v>131</v>
      </c>
      <c r="C227">
        <v>5</v>
      </c>
      <c r="D227">
        <v>35.200000000000003</v>
      </c>
      <c r="E227">
        <v>176</v>
      </c>
      <c r="F227" s="1">
        <v>45667</v>
      </c>
      <c r="G227" s="1">
        <v>45667</v>
      </c>
      <c r="H227" t="s">
        <v>12</v>
      </c>
      <c r="I227" t="s">
        <v>20</v>
      </c>
      <c r="J227">
        <v>4</v>
      </c>
      <c r="K227" t="s">
        <v>4</v>
      </c>
      <c r="L227" t="s">
        <v>40</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288</v>
      </c>
      <c r="B228" t="s">
        <v>31</v>
      </c>
      <c r="C228">
        <v>3</v>
      </c>
      <c r="D228">
        <v>32.1</v>
      </c>
      <c r="E228">
        <v>96.300000000000011</v>
      </c>
      <c r="F228" s="1">
        <v>45667</v>
      </c>
      <c r="G228" s="1">
        <v>45672</v>
      </c>
      <c r="H228" t="s">
        <v>8</v>
      </c>
      <c r="I228" t="s">
        <v>36</v>
      </c>
      <c r="J228">
        <v>4</v>
      </c>
      <c r="K228" t="s">
        <v>4</v>
      </c>
      <c r="L228" t="s">
        <v>47</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289</v>
      </c>
      <c r="B229" t="s">
        <v>52</v>
      </c>
      <c r="C229">
        <v>1</v>
      </c>
      <c r="D229">
        <v>38.1</v>
      </c>
      <c r="E229">
        <v>38.1</v>
      </c>
      <c r="F229" s="1">
        <v>45667</v>
      </c>
      <c r="G229" s="1">
        <v>45672</v>
      </c>
      <c r="H229" t="s">
        <v>12</v>
      </c>
      <c r="I229" t="s">
        <v>3</v>
      </c>
      <c r="J229">
        <v>5</v>
      </c>
      <c r="K229" t="s">
        <v>4</v>
      </c>
      <c r="L229" t="s">
        <v>47</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290</v>
      </c>
      <c r="B230" t="s">
        <v>29</v>
      </c>
      <c r="C230">
        <v>1</v>
      </c>
      <c r="D230">
        <v>65.2</v>
      </c>
      <c r="E230">
        <v>65.2</v>
      </c>
      <c r="F230" s="1">
        <v>45667</v>
      </c>
      <c r="G230" s="1">
        <v>45672</v>
      </c>
      <c r="H230" t="s">
        <v>12</v>
      </c>
      <c r="I230" t="s">
        <v>36</v>
      </c>
      <c r="J230">
        <v>3</v>
      </c>
      <c r="K230" t="s">
        <v>4</v>
      </c>
      <c r="L230" t="s">
        <v>47</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291</v>
      </c>
      <c r="B231" t="s">
        <v>39</v>
      </c>
      <c r="C231">
        <v>7</v>
      </c>
      <c r="D231">
        <v>55.2</v>
      </c>
      <c r="E231">
        <v>386.40000000000003</v>
      </c>
      <c r="F231" s="1">
        <v>45667</v>
      </c>
      <c r="G231" s="1">
        <v>45668</v>
      </c>
      <c r="H231" t="s">
        <v>8</v>
      </c>
      <c r="I231" t="s">
        <v>25</v>
      </c>
      <c r="J231">
        <v>4</v>
      </c>
      <c r="K231" t="s">
        <v>4</v>
      </c>
      <c r="L231" t="s">
        <v>62</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292</v>
      </c>
      <c r="B232" t="s">
        <v>24</v>
      </c>
      <c r="C232">
        <v>1</v>
      </c>
      <c r="D232">
        <v>62</v>
      </c>
      <c r="E232">
        <v>62</v>
      </c>
      <c r="F232" s="1">
        <v>45667</v>
      </c>
      <c r="G232" s="1">
        <v>45671</v>
      </c>
      <c r="H232" t="s">
        <v>12</v>
      </c>
      <c r="I232" t="s">
        <v>3</v>
      </c>
      <c r="J232">
        <v>4</v>
      </c>
      <c r="K232" t="s">
        <v>4</v>
      </c>
      <c r="L232" t="s">
        <v>62</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293</v>
      </c>
      <c r="B233" t="s">
        <v>27</v>
      </c>
      <c r="C233">
        <v>3</v>
      </c>
      <c r="D233">
        <v>45.9</v>
      </c>
      <c r="E233">
        <v>137.69999999999999</v>
      </c>
      <c r="F233" s="1">
        <v>45667</v>
      </c>
      <c r="G233" s="1">
        <v>45668</v>
      </c>
      <c r="H233" t="s">
        <v>12</v>
      </c>
      <c r="I233" t="s">
        <v>25</v>
      </c>
      <c r="J233">
        <v>4</v>
      </c>
      <c r="K233" t="s">
        <v>4</v>
      </c>
      <c r="L233" t="s">
        <v>294</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295</v>
      </c>
      <c r="B234" t="s">
        <v>131</v>
      </c>
      <c r="C234">
        <v>3</v>
      </c>
      <c r="D234">
        <v>58.3</v>
      </c>
      <c r="E234">
        <v>174.89999999999998</v>
      </c>
      <c r="F234" s="1">
        <v>45667</v>
      </c>
      <c r="G234" s="1">
        <v>45667</v>
      </c>
      <c r="H234" t="s">
        <v>8</v>
      </c>
      <c r="I234" t="s">
        <v>20</v>
      </c>
      <c r="J234">
        <v>3</v>
      </c>
      <c r="K234" t="s">
        <v>4</v>
      </c>
      <c r="L234" t="s">
        <v>93</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296</v>
      </c>
      <c r="B235" t="s">
        <v>29</v>
      </c>
      <c r="C235">
        <v>2</v>
      </c>
      <c r="D235">
        <v>22.3</v>
      </c>
      <c r="E235">
        <v>44.6</v>
      </c>
      <c r="F235" s="1">
        <v>45667</v>
      </c>
      <c r="G235" s="1">
        <v>45670</v>
      </c>
      <c r="H235" t="s">
        <v>12</v>
      </c>
      <c r="I235" t="s">
        <v>3</v>
      </c>
      <c r="J235">
        <v>5</v>
      </c>
      <c r="K235" t="s">
        <v>4</v>
      </c>
      <c r="L235" t="s">
        <v>98</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297</v>
      </c>
      <c r="B236" t="s">
        <v>156</v>
      </c>
      <c r="C236">
        <v>5</v>
      </c>
      <c r="D236">
        <v>24</v>
      </c>
      <c r="E236">
        <v>120</v>
      </c>
      <c r="F236" s="1">
        <v>45667</v>
      </c>
      <c r="G236" s="1">
        <v>45668</v>
      </c>
      <c r="H236" t="s">
        <v>8</v>
      </c>
      <c r="I236" t="s">
        <v>55</v>
      </c>
      <c r="J236">
        <v>4</v>
      </c>
      <c r="K236" t="s">
        <v>4</v>
      </c>
      <c r="L236" t="s">
        <v>9</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298</v>
      </c>
      <c r="B237" t="s">
        <v>1</v>
      </c>
      <c r="C237">
        <v>10</v>
      </c>
      <c r="D237">
        <v>21.3</v>
      </c>
      <c r="E237">
        <v>213</v>
      </c>
      <c r="F237" s="1">
        <v>45667</v>
      </c>
      <c r="G237" s="1">
        <v>45667</v>
      </c>
      <c r="H237" t="s">
        <v>12</v>
      </c>
      <c r="I237" t="s">
        <v>20</v>
      </c>
      <c r="J237">
        <v>5</v>
      </c>
      <c r="K237" t="s">
        <v>4</v>
      </c>
      <c r="L237" t="s">
        <v>132</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299</v>
      </c>
      <c r="B238" t="s">
        <v>24</v>
      </c>
      <c r="C238">
        <v>41</v>
      </c>
      <c r="D238">
        <v>57.8</v>
      </c>
      <c r="E238">
        <v>2369.7999999999997</v>
      </c>
      <c r="F238" s="1">
        <v>45667</v>
      </c>
      <c r="G238" s="1">
        <v>45669</v>
      </c>
      <c r="H238" t="s">
        <v>12</v>
      </c>
      <c r="I238" t="s">
        <v>3</v>
      </c>
      <c r="J238">
        <v>5</v>
      </c>
      <c r="K238" t="s">
        <v>4</v>
      </c>
      <c r="L238" t="s">
        <v>18</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300</v>
      </c>
      <c r="B239" t="s">
        <v>39</v>
      </c>
      <c r="C239">
        <v>3</v>
      </c>
      <c r="D239">
        <v>67.599999999999994</v>
      </c>
      <c r="E239">
        <v>202.79999999999998</v>
      </c>
      <c r="F239" s="1">
        <v>45667</v>
      </c>
      <c r="G239" s="1">
        <v>45668</v>
      </c>
      <c r="H239" t="s">
        <v>12</v>
      </c>
      <c r="I239" t="s">
        <v>3</v>
      </c>
      <c r="J239">
        <v>4</v>
      </c>
      <c r="K239" t="s">
        <v>4</v>
      </c>
      <c r="L239" t="s">
        <v>18</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301</v>
      </c>
      <c r="B240" t="s">
        <v>24</v>
      </c>
      <c r="C240">
        <v>6</v>
      </c>
      <c r="D240">
        <v>66.7</v>
      </c>
      <c r="E240">
        <v>400.20000000000005</v>
      </c>
      <c r="F240" s="1">
        <v>45667</v>
      </c>
      <c r="G240" s="1">
        <v>45671</v>
      </c>
      <c r="H240" t="s">
        <v>8</v>
      </c>
      <c r="I240" t="s">
        <v>55</v>
      </c>
      <c r="J240">
        <v>3</v>
      </c>
      <c r="K240" t="s">
        <v>4</v>
      </c>
      <c r="L240" t="s">
        <v>18</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302</v>
      </c>
      <c r="B241" t="s">
        <v>7</v>
      </c>
      <c r="C241">
        <v>4</v>
      </c>
      <c r="D241">
        <v>53.1</v>
      </c>
      <c r="E241">
        <v>212.4</v>
      </c>
      <c r="F241" s="1">
        <v>45667</v>
      </c>
      <c r="G241" s="1">
        <v>45669</v>
      </c>
      <c r="H241" t="s">
        <v>12</v>
      </c>
      <c r="I241" t="s">
        <v>20</v>
      </c>
      <c r="J241">
        <v>4</v>
      </c>
      <c r="K241" t="s">
        <v>4</v>
      </c>
      <c r="L241" t="s">
        <v>18</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303</v>
      </c>
      <c r="B242" t="s">
        <v>54</v>
      </c>
      <c r="C242">
        <v>3</v>
      </c>
      <c r="D242">
        <v>57.4</v>
      </c>
      <c r="E242">
        <v>172.2</v>
      </c>
      <c r="F242" s="1">
        <v>45667</v>
      </c>
      <c r="G242" s="1">
        <v>45670</v>
      </c>
      <c r="H242" t="s">
        <v>12</v>
      </c>
      <c r="I242" t="s">
        <v>3</v>
      </c>
      <c r="J242">
        <v>5</v>
      </c>
      <c r="K242" t="s">
        <v>4</v>
      </c>
      <c r="L242" t="s">
        <v>243</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304</v>
      </c>
      <c r="B243" t="s">
        <v>11</v>
      </c>
      <c r="C243">
        <v>5</v>
      </c>
      <c r="D243">
        <v>58.1</v>
      </c>
      <c r="E243">
        <v>290.5</v>
      </c>
      <c r="F243" s="1">
        <v>45667</v>
      </c>
      <c r="G243" s="1">
        <v>45667</v>
      </c>
      <c r="H243" t="s">
        <v>8</v>
      </c>
      <c r="I243" t="s">
        <v>25</v>
      </c>
      <c r="J243">
        <v>5</v>
      </c>
      <c r="K243" t="s">
        <v>4</v>
      </c>
      <c r="L243" t="s">
        <v>40</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305</v>
      </c>
      <c r="B244" t="s">
        <v>22</v>
      </c>
      <c r="C244">
        <v>3</v>
      </c>
      <c r="D244">
        <v>31.8</v>
      </c>
      <c r="E244">
        <v>95.4</v>
      </c>
      <c r="F244" s="1">
        <v>45668</v>
      </c>
      <c r="G244" s="1">
        <v>45670</v>
      </c>
      <c r="H244" t="s">
        <v>8</v>
      </c>
      <c r="I244" t="s">
        <v>36</v>
      </c>
      <c r="J244">
        <v>4</v>
      </c>
      <c r="K244" t="s">
        <v>4</v>
      </c>
      <c r="L244" t="s">
        <v>40</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306</v>
      </c>
      <c r="B245" t="s">
        <v>17</v>
      </c>
      <c r="C245">
        <v>3</v>
      </c>
      <c r="D245">
        <v>31.5</v>
      </c>
      <c r="E245">
        <v>94.5</v>
      </c>
      <c r="F245" s="1">
        <v>45668</v>
      </c>
      <c r="G245" s="1">
        <v>45671</v>
      </c>
      <c r="H245" t="s">
        <v>8</v>
      </c>
      <c r="I245" t="s">
        <v>3</v>
      </c>
      <c r="J245">
        <v>3</v>
      </c>
      <c r="K245" t="s">
        <v>4</v>
      </c>
      <c r="L245" t="s">
        <v>47</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307</v>
      </c>
      <c r="B246" t="s">
        <v>24</v>
      </c>
      <c r="C246">
        <v>7</v>
      </c>
      <c r="D246">
        <v>55.9</v>
      </c>
      <c r="E246">
        <v>391.3</v>
      </c>
      <c r="F246" s="1">
        <v>45668</v>
      </c>
      <c r="G246" s="1">
        <v>45672</v>
      </c>
      <c r="H246" t="s">
        <v>12</v>
      </c>
      <c r="I246" t="s">
        <v>20</v>
      </c>
      <c r="J246">
        <v>5</v>
      </c>
      <c r="K246" t="s">
        <v>4</v>
      </c>
      <c r="L246" t="s">
        <v>47</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308</v>
      </c>
      <c r="B247" t="s">
        <v>29</v>
      </c>
      <c r="C247">
        <v>2</v>
      </c>
      <c r="D247">
        <v>36.4</v>
      </c>
      <c r="E247">
        <v>72.8</v>
      </c>
      <c r="F247" s="1">
        <v>45668</v>
      </c>
      <c r="G247" s="1">
        <v>45669</v>
      </c>
      <c r="H247" t="s">
        <v>8</v>
      </c>
      <c r="I247" t="s">
        <v>20</v>
      </c>
      <c r="J247">
        <v>3</v>
      </c>
      <c r="K247" t="s">
        <v>4</v>
      </c>
      <c r="L247" t="s">
        <v>57</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309</v>
      </c>
      <c r="B248" t="s">
        <v>7</v>
      </c>
      <c r="C248">
        <v>5</v>
      </c>
      <c r="D248">
        <v>47.3</v>
      </c>
      <c r="E248">
        <v>236.5</v>
      </c>
      <c r="F248" s="1">
        <v>45668</v>
      </c>
      <c r="G248" s="1">
        <v>45671</v>
      </c>
      <c r="H248" t="s">
        <v>8</v>
      </c>
      <c r="I248" t="s">
        <v>25</v>
      </c>
      <c r="J248">
        <v>4</v>
      </c>
      <c r="K248" t="s">
        <v>4</v>
      </c>
      <c r="L248" t="s">
        <v>59</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310</v>
      </c>
      <c r="B249" t="s">
        <v>24</v>
      </c>
      <c r="C249">
        <v>3</v>
      </c>
      <c r="D249">
        <v>82.5</v>
      </c>
      <c r="E249">
        <v>247.5</v>
      </c>
      <c r="F249" s="1">
        <v>45668</v>
      </c>
      <c r="G249" s="1">
        <v>45669</v>
      </c>
      <c r="H249" t="s">
        <v>8</v>
      </c>
      <c r="I249" t="s">
        <v>3</v>
      </c>
      <c r="J249">
        <v>4</v>
      </c>
      <c r="K249" t="s">
        <v>4</v>
      </c>
      <c r="L249" t="s">
        <v>62</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311</v>
      </c>
      <c r="B250" t="s">
        <v>1</v>
      </c>
      <c r="C250">
        <v>1</v>
      </c>
      <c r="D250">
        <v>14.3</v>
      </c>
      <c r="E250">
        <v>14.3</v>
      </c>
      <c r="F250" s="1">
        <v>45668</v>
      </c>
      <c r="G250" s="1">
        <v>45669</v>
      </c>
      <c r="H250" t="s">
        <v>12</v>
      </c>
      <c r="I250" t="s">
        <v>3</v>
      </c>
      <c r="J250">
        <v>4</v>
      </c>
      <c r="K250" t="s">
        <v>4</v>
      </c>
      <c r="L250" t="s">
        <v>100</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312</v>
      </c>
      <c r="B251" t="s">
        <v>11</v>
      </c>
      <c r="C251">
        <v>6</v>
      </c>
      <c r="D251">
        <v>57.6</v>
      </c>
      <c r="E251">
        <v>345.6</v>
      </c>
      <c r="F251" s="1">
        <v>45668</v>
      </c>
      <c r="G251" s="1">
        <v>45682</v>
      </c>
      <c r="H251" t="s">
        <v>12</v>
      </c>
      <c r="I251" t="s">
        <v>3</v>
      </c>
      <c r="J251">
        <v>4</v>
      </c>
      <c r="K251" t="s">
        <v>4</v>
      </c>
      <c r="L251" t="s">
        <v>100</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313</v>
      </c>
      <c r="B252" t="s">
        <v>11</v>
      </c>
      <c r="C252">
        <v>3</v>
      </c>
      <c r="D252">
        <v>142.4</v>
      </c>
      <c r="E252">
        <v>427.20000000000005</v>
      </c>
      <c r="F252" s="1">
        <v>45668</v>
      </c>
      <c r="G252" s="1">
        <v>45670</v>
      </c>
      <c r="H252" t="s">
        <v>8</v>
      </c>
      <c r="I252" t="s">
        <v>55</v>
      </c>
      <c r="J252">
        <v>3</v>
      </c>
      <c r="K252" t="s">
        <v>4</v>
      </c>
      <c r="L252" t="s">
        <v>100</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314</v>
      </c>
      <c r="B253" t="s">
        <v>54</v>
      </c>
      <c r="C253">
        <v>1</v>
      </c>
      <c r="D253">
        <v>30.2</v>
      </c>
      <c r="E253">
        <v>30.2</v>
      </c>
      <c r="F253" s="1">
        <v>45668</v>
      </c>
      <c r="G253" s="1">
        <v>45672</v>
      </c>
      <c r="H253" t="s">
        <v>8</v>
      </c>
      <c r="I253" t="s">
        <v>20</v>
      </c>
      <c r="J253">
        <v>5</v>
      </c>
      <c r="K253" t="s">
        <v>4</v>
      </c>
      <c r="L253" t="s">
        <v>13</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315</v>
      </c>
      <c r="B254" t="s">
        <v>131</v>
      </c>
      <c r="C254">
        <v>3</v>
      </c>
      <c r="D254">
        <v>65.3</v>
      </c>
      <c r="E254">
        <v>195.89999999999998</v>
      </c>
      <c r="F254" s="1">
        <v>45668</v>
      </c>
      <c r="G254" s="1">
        <v>45669</v>
      </c>
      <c r="H254" t="s">
        <v>74</v>
      </c>
      <c r="I254" t="s">
        <v>20</v>
      </c>
      <c r="J254">
        <v>4</v>
      </c>
      <c r="K254" t="s">
        <v>4</v>
      </c>
      <c r="L254" t="s">
        <v>316</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317</v>
      </c>
      <c r="B255" t="s">
        <v>1</v>
      </c>
      <c r="C255">
        <v>2</v>
      </c>
      <c r="D255">
        <v>33.4</v>
      </c>
      <c r="E255">
        <v>66.8</v>
      </c>
      <c r="F255" s="1">
        <v>45668</v>
      </c>
      <c r="G255" s="1">
        <v>45669</v>
      </c>
      <c r="H255" t="s">
        <v>8</v>
      </c>
      <c r="I255" t="s">
        <v>20</v>
      </c>
      <c r="J255">
        <v>3</v>
      </c>
      <c r="K255" t="s">
        <v>4</v>
      </c>
      <c r="L255" t="s">
        <v>132</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318</v>
      </c>
      <c r="B256" t="s">
        <v>27</v>
      </c>
      <c r="C256">
        <v>2</v>
      </c>
      <c r="D256">
        <v>45.1</v>
      </c>
      <c r="E256">
        <v>90.2</v>
      </c>
      <c r="F256" s="1">
        <v>45668</v>
      </c>
      <c r="G256" s="1">
        <v>45676</v>
      </c>
      <c r="H256" t="s">
        <v>8</v>
      </c>
      <c r="I256" t="s">
        <v>3</v>
      </c>
      <c r="J256">
        <v>4</v>
      </c>
      <c r="K256" t="s">
        <v>4</v>
      </c>
      <c r="L256" t="s">
        <v>319</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320</v>
      </c>
      <c r="B257" t="s">
        <v>11</v>
      </c>
      <c r="C257">
        <v>7</v>
      </c>
      <c r="D257">
        <v>61.7</v>
      </c>
      <c r="E257">
        <v>431.90000000000003</v>
      </c>
      <c r="F257" s="1">
        <v>45668</v>
      </c>
      <c r="G257" s="1">
        <v>45670</v>
      </c>
      <c r="H257" t="s">
        <v>12</v>
      </c>
      <c r="I257" t="s">
        <v>55</v>
      </c>
      <c r="J257">
        <v>4</v>
      </c>
      <c r="K257" t="s">
        <v>4</v>
      </c>
      <c r="L257" t="s">
        <v>18</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321</v>
      </c>
      <c r="B258" t="s">
        <v>31</v>
      </c>
      <c r="C258">
        <v>3</v>
      </c>
      <c r="D258">
        <v>45.1</v>
      </c>
      <c r="E258">
        <v>135.30000000000001</v>
      </c>
      <c r="F258" s="1">
        <v>45669</v>
      </c>
      <c r="G258" s="1">
        <v>45670</v>
      </c>
      <c r="H258" t="s">
        <v>8</v>
      </c>
      <c r="I258" t="s">
        <v>55</v>
      </c>
      <c r="J258">
        <v>3</v>
      </c>
      <c r="K258" t="s">
        <v>4</v>
      </c>
      <c r="L258" t="s">
        <v>18</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322</v>
      </c>
      <c r="B259" t="s">
        <v>108</v>
      </c>
      <c r="C259">
        <v>5</v>
      </c>
      <c r="D259">
        <v>22.7</v>
      </c>
      <c r="E259">
        <v>113.5</v>
      </c>
      <c r="F259" s="1">
        <v>45669</v>
      </c>
      <c r="G259" s="1">
        <v>45674</v>
      </c>
      <c r="H259" t="s">
        <v>8</v>
      </c>
      <c r="I259" t="s">
        <v>3</v>
      </c>
      <c r="J259">
        <v>5</v>
      </c>
      <c r="K259" t="s">
        <v>4</v>
      </c>
      <c r="L259" t="s">
        <v>323</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324</v>
      </c>
      <c r="B260" t="s">
        <v>29</v>
      </c>
      <c r="C260">
        <v>1</v>
      </c>
      <c r="D260">
        <v>17.600000000000001</v>
      </c>
      <c r="E260">
        <v>17.600000000000001</v>
      </c>
      <c r="F260" s="1">
        <v>45669</v>
      </c>
      <c r="G260" s="1">
        <v>45670</v>
      </c>
      <c r="H260" t="s">
        <v>12</v>
      </c>
      <c r="I260" t="s">
        <v>3</v>
      </c>
      <c r="J260">
        <v>5</v>
      </c>
      <c r="K260" t="s">
        <v>4</v>
      </c>
      <c r="L260" t="s">
        <v>143</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325</v>
      </c>
      <c r="B261" t="s">
        <v>66</v>
      </c>
      <c r="C261">
        <v>2</v>
      </c>
      <c r="D261">
        <v>11.3</v>
      </c>
      <c r="E261">
        <v>22.6</v>
      </c>
      <c r="F261" s="1">
        <v>45669</v>
      </c>
      <c r="G261" s="1">
        <v>45672</v>
      </c>
      <c r="H261" t="s">
        <v>12</v>
      </c>
      <c r="I261" t="s">
        <v>36</v>
      </c>
      <c r="J261">
        <v>5</v>
      </c>
      <c r="K261" t="s">
        <v>4</v>
      </c>
      <c r="L261" t="s">
        <v>143</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326</v>
      </c>
      <c r="B262" t="s">
        <v>24</v>
      </c>
      <c r="C262">
        <v>3</v>
      </c>
      <c r="D262">
        <v>53.4</v>
      </c>
      <c r="E262">
        <v>160.19999999999999</v>
      </c>
      <c r="F262" s="1">
        <v>45669</v>
      </c>
      <c r="G262" s="1">
        <v>45672</v>
      </c>
      <c r="H262" t="s">
        <v>8</v>
      </c>
      <c r="I262" t="s">
        <v>36</v>
      </c>
      <c r="J262">
        <v>5</v>
      </c>
      <c r="K262" t="s">
        <v>4</v>
      </c>
      <c r="L262" t="s">
        <v>327</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328</v>
      </c>
      <c r="B263" t="s">
        <v>24</v>
      </c>
      <c r="C263">
        <v>11</v>
      </c>
      <c r="D263">
        <v>51.1</v>
      </c>
      <c r="E263">
        <v>562.1</v>
      </c>
      <c r="F263" s="1">
        <v>45669</v>
      </c>
      <c r="G263" s="1">
        <v>45671</v>
      </c>
      <c r="H263" t="s">
        <v>12</v>
      </c>
      <c r="I263" t="s">
        <v>25</v>
      </c>
      <c r="J263">
        <v>5</v>
      </c>
      <c r="K263" t="s">
        <v>4</v>
      </c>
      <c r="L263" t="s">
        <v>47</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329</v>
      </c>
      <c r="B264" t="s">
        <v>29</v>
      </c>
      <c r="C264">
        <v>2</v>
      </c>
      <c r="D264">
        <v>27.5</v>
      </c>
      <c r="E264">
        <v>55</v>
      </c>
      <c r="F264" s="1">
        <v>45669</v>
      </c>
      <c r="G264" s="1">
        <v>45670</v>
      </c>
      <c r="H264" t="s">
        <v>8</v>
      </c>
      <c r="I264" t="s">
        <v>55</v>
      </c>
      <c r="J264">
        <v>3</v>
      </c>
      <c r="K264" t="s">
        <v>4</v>
      </c>
      <c r="L264" t="s">
        <v>47</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330</v>
      </c>
      <c r="B265" t="s">
        <v>31</v>
      </c>
      <c r="C265">
        <v>1</v>
      </c>
      <c r="D265">
        <v>33.5</v>
      </c>
      <c r="E265">
        <v>33.5</v>
      </c>
      <c r="F265" s="1">
        <v>45669</v>
      </c>
      <c r="G265" s="1">
        <v>45671</v>
      </c>
      <c r="H265" t="s">
        <v>12</v>
      </c>
      <c r="I265" t="s">
        <v>3</v>
      </c>
      <c r="J265">
        <v>2</v>
      </c>
      <c r="K265" t="s">
        <v>4</v>
      </c>
      <c r="L265" t="s">
        <v>47</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331</v>
      </c>
      <c r="B266" t="s">
        <v>17</v>
      </c>
      <c r="C266">
        <v>1</v>
      </c>
      <c r="D266">
        <v>59.5</v>
      </c>
      <c r="E266">
        <v>59.5</v>
      </c>
      <c r="F266" s="1">
        <v>45669</v>
      </c>
      <c r="G266" s="1">
        <v>45669</v>
      </c>
      <c r="H266" t="s">
        <v>8</v>
      </c>
      <c r="I266" t="s">
        <v>3</v>
      </c>
      <c r="J266">
        <v>5</v>
      </c>
      <c r="K266" t="s">
        <v>4</v>
      </c>
      <c r="L266" t="s">
        <v>93</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332</v>
      </c>
      <c r="B267" t="s">
        <v>120</v>
      </c>
      <c r="C267">
        <v>4</v>
      </c>
      <c r="D267">
        <v>23.5</v>
      </c>
      <c r="E267">
        <v>94</v>
      </c>
      <c r="F267" s="1">
        <v>45669</v>
      </c>
      <c r="G267" s="1">
        <v>45670</v>
      </c>
      <c r="H267" t="s">
        <v>12</v>
      </c>
      <c r="I267" t="s">
        <v>36</v>
      </c>
      <c r="J267">
        <v>1</v>
      </c>
      <c r="K267" t="s">
        <v>4</v>
      </c>
      <c r="L267" t="s">
        <v>95</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333</v>
      </c>
      <c r="B268" t="s">
        <v>24</v>
      </c>
      <c r="C268">
        <v>1</v>
      </c>
      <c r="D268">
        <v>49.7</v>
      </c>
      <c r="E268">
        <v>49.7</v>
      </c>
      <c r="F268" s="1">
        <v>45669</v>
      </c>
      <c r="G268" s="1">
        <v>45670</v>
      </c>
      <c r="H268" t="s">
        <v>2</v>
      </c>
      <c r="I268" t="s">
        <v>20</v>
      </c>
      <c r="J268">
        <v>5</v>
      </c>
      <c r="K268" t="s">
        <v>4</v>
      </c>
      <c r="L268" t="s">
        <v>98</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334</v>
      </c>
      <c r="B269" t="s">
        <v>24</v>
      </c>
      <c r="C269">
        <v>4</v>
      </c>
      <c r="D269">
        <v>44.2</v>
      </c>
      <c r="E269">
        <v>176.8</v>
      </c>
      <c r="F269" s="1">
        <v>45669</v>
      </c>
      <c r="G269" s="1">
        <v>45672</v>
      </c>
      <c r="H269" t="s">
        <v>12</v>
      </c>
      <c r="I269" t="s">
        <v>3</v>
      </c>
      <c r="J269">
        <v>5</v>
      </c>
      <c r="K269" t="s">
        <v>4</v>
      </c>
      <c r="L269" t="s">
        <v>100</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335</v>
      </c>
      <c r="B270" t="s">
        <v>29</v>
      </c>
      <c r="C270">
        <v>1</v>
      </c>
      <c r="D270">
        <v>22.1</v>
      </c>
      <c r="E270">
        <v>22.1</v>
      </c>
      <c r="F270" s="1">
        <v>45669</v>
      </c>
      <c r="G270" s="1">
        <v>45673</v>
      </c>
      <c r="H270" t="s">
        <v>12</v>
      </c>
      <c r="I270" t="s">
        <v>20</v>
      </c>
      <c r="J270">
        <v>3</v>
      </c>
      <c r="K270" t="s">
        <v>4</v>
      </c>
      <c r="L270" t="s">
        <v>316</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336</v>
      </c>
      <c r="B271" t="s">
        <v>24</v>
      </c>
      <c r="C271">
        <v>3</v>
      </c>
      <c r="D271">
        <v>90.9</v>
      </c>
      <c r="E271">
        <v>272.70000000000005</v>
      </c>
      <c r="F271" s="1">
        <v>45669</v>
      </c>
      <c r="G271" s="1">
        <v>45670</v>
      </c>
      <c r="H271" t="s">
        <v>12</v>
      </c>
      <c r="I271" t="s">
        <v>25</v>
      </c>
      <c r="J271">
        <v>2</v>
      </c>
      <c r="K271" t="s">
        <v>4</v>
      </c>
      <c r="L271" t="s">
        <v>18</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337</v>
      </c>
      <c r="B272" t="s">
        <v>29</v>
      </c>
      <c r="C272">
        <v>3</v>
      </c>
      <c r="D272">
        <v>44.5</v>
      </c>
      <c r="E272">
        <v>133.5</v>
      </c>
      <c r="F272" s="1">
        <v>45669</v>
      </c>
      <c r="G272" s="1">
        <v>45670</v>
      </c>
      <c r="H272" t="s">
        <v>12</v>
      </c>
      <c r="I272" t="s">
        <v>20</v>
      </c>
      <c r="J272">
        <v>4</v>
      </c>
      <c r="K272" t="s">
        <v>4</v>
      </c>
      <c r="L272" t="s">
        <v>18</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338</v>
      </c>
      <c r="B273" t="s">
        <v>31</v>
      </c>
      <c r="C273">
        <v>6</v>
      </c>
      <c r="D273">
        <v>32.299999999999997</v>
      </c>
      <c r="E273">
        <v>193.79999999999998</v>
      </c>
      <c r="F273" s="1">
        <v>45669</v>
      </c>
      <c r="G273" s="1">
        <v>45673</v>
      </c>
      <c r="H273" t="s">
        <v>12</v>
      </c>
      <c r="I273" t="s">
        <v>3</v>
      </c>
      <c r="J273">
        <v>4</v>
      </c>
      <c r="K273" t="s">
        <v>4</v>
      </c>
      <c r="L273" t="s">
        <v>18</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339</v>
      </c>
      <c r="B274" t="s">
        <v>120</v>
      </c>
      <c r="C274">
        <v>3</v>
      </c>
      <c r="D274">
        <v>87.5</v>
      </c>
      <c r="E274">
        <v>262.5</v>
      </c>
      <c r="F274" s="1">
        <v>45669</v>
      </c>
      <c r="G274" s="1">
        <v>45670</v>
      </c>
      <c r="H274" t="s">
        <v>12</v>
      </c>
      <c r="I274" t="s">
        <v>20</v>
      </c>
      <c r="J274">
        <v>3</v>
      </c>
      <c r="K274" t="s">
        <v>4</v>
      </c>
      <c r="L274" t="s">
        <v>18</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340</v>
      </c>
      <c r="B275" t="s">
        <v>113</v>
      </c>
      <c r="C275">
        <v>5</v>
      </c>
      <c r="D275">
        <v>48.7</v>
      </c>
      <c r="E275">
        <v>243.5</v>
      </c>
      <c r="F275" s="1">
        <v>45669</v>
      </c>
      <c r="G275" s="1">
        <v>45670</v>
      </c>
      <c r="H275" t="s">
        <v>8</v>
      </c>
      <c r="I275" t="s">
        <v>25</v>
      </c>
      <c r="J275">
        <v>4</v>
      </c>
      <c r="K275" t="s">
        <v>4</v>
      </c>
      <c r="L275" t="s">
        <v>18</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341</v>
      </c>
      <c r="B276" t="s">
        <v>1</v>
      </c>
      <c r="C276">
        <v>5</v>
      </c>
      <c r="D276">
        <v>22.5</v>
      </c>
      <c r="E276">
        <v>112.5</v>
      </c>
      <c r="F276" s="1">
        <v>45669</v>
      </c>
      <c r="G276" s="1">
        <v>45670</v>
      </c>
      <c r="H276" t="s">
        <v>8</v>
      </c>
      <c r="I276" t="s">
        <v>3</v>
      </c>
      <c r="J276">
        <v>4</v>
      </c>
      <c r="K276" t="s">
        <v>4</v>
      </c>
      <c r="L276" t="s">
        <v>18</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342</v>
      </c>
      <c r="B277" t="s">
        <v>7</v>
      </c>
      <c r="C277">
        <v>8</v>
      </c>
      <c r="D277">
        <v>65.900000000000006</v>
      </c>
      <c r="E277">
        <v>527.20000000000005</v>
      </c>
      <c r="F277" s="1">
        <v>45669</v>
      </c>
      <c r="G277" s="1">
        <v>45672</v>
      </c>
      <c r="H277" t="s">
        <v>12</v>
      </c>
      <c r="I277" t="s">
        <v>20</v>
      </c>
      <c r="J277">
        <v>5</v>
      </c>
      <c r="K277" t="s">
        <v>4</v>
      </c>
      <c r="L277" t="s">
        <v>18</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343</v>
      </c>
      <c r="B278" t="s">
        <v>24</v>
      </c>
      <c r="C278">
        <v>5</v>
      </c>
      <c r="D278">
        <v>41.9</v>
      </c>
      <c r="E278">
        <v>209.5</v>
      </c>
      <c r="F278" s="1">
        <v>45669</v>
      </c>
      <c r="G278" s="1">
        <v>45676</v>
      </c>
      <c r="H278" t="s">
        <v>2</v>
      </c>
      <c r="I278" t="s">
        <v>3</v>
      </c>
      <c r="J278">
        <v>4</v>
      </c>
      <c r="K278" t="s">
        <v>4</v>
      </c>
      <c r="L278" t="s">
        <v>18</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344</v>
      </c>
      <c r="B279" t="s">
        <v>7</v>
      </c>
      <c r="C279">
        <v>5</v>
      </c>
      <c r="D279">
        <v>67.5</v>
      </c>
      <c r="E279">
        <v>337.5</v>
      </c>
      <c r="F279" s="1">
        <v>45669</v>
      </c>
      <c r="G279" s="1">
        <v>45670</v>
      </c>
      <c r="H279" t="s">
        <v>12</v>
      </c>
      <c r="I279" t="s">
        <v>3</v>
      </c>
      <c r="J279">
        <v>5</v>
      </c>
      <c r="K279" t="s">
        <v>4</v>
      </c>
      <c r="L279" t="s">
        <v>18</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345</v>
      </c>
      <c r="B280" t="s">
        <v>31</v>
      </c>
      <c r="C280">
        <v>1</v>
      </c>
      <c r="D280">
        <v>60.4</v>
      </c>
      <c r="E280">
        <v>60.4</v>
      </c>
      <c r="F280" s="1">
        <v>45670</v>
      </c>
      <c r="G280" s="1">
        <v>45672</v>
      </c>
      <c r="H280" t="s">
        <v>12</v>
      </c>
      <c r="I280" t="s">
        <v>20</v>
      </c>
      <c r="J280">
        <v>3</v>
      </c>
      <c r="K280" t="s">
        <v>4</v>
      </c>
      <c r="L280" t="s">
        <v>18</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346</v>
      </c>
      <c r="B281" t="s">
        <v>7</v>
      </c>
      <c r="C281">
        <v>7</v>
      </c>
      <c r="D281">
        <v>30.4</v>
      </c>
      <c r="E281">
        <v>212.79999999999998</v>
      </c>
      <c r="F281" s="1">
        <v>45670</v>
      </c>
      <c r="G281" s="1">
        <v>45673</v>
      </c>
      <c r="H281" t="s">
        <v>12</v>
      </c>
      <c r="I281" t="s">
        <v>55</v>
      </c>
      <c r="J281">
        <v>4</v>
      </c>
      <c r="K281" t="s">
        <v>4</v>
      </c>
      <c r="L281" t="s">
        <v>18</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347</v>
      </c>
      <c r="B282" t="s">
        <v>66</v>
      </c>
      <c r="C282">
        <v>2</v>
      </c>
      <c r="D282">
        <v>24.5</v>
      </c>
      <c r="E282">
        <v>49</v>
      </c>
      <c r="F282" s="1">
        <v>45670</v>
      </c>
      <c r="G282" s="1">
        <v>45671</v>
      </c>
      <c r="H282" t="s">
        <v>8</v>
      </c>
      <c r="I282" t="s">
        <v>36</v>
      </c>
      <c r="J282">
        <v>5</v>
      </c>
      <c r="K282" t="s">
        <v>4</v>
      </c>
      <c r="L282" t="s">
        <v>18</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348</v>
      </c>
      <c r="B283" t="s">
        <v>11</v>
      </c>
      <c r="C283">
        <v>3</v>
      </c>
      <c r="D283">
        <v>105.9</v>
      </c>
      <c r="E283">
        <v>317.70000000000005</v>
      </c>
      <c r="F283" s="1">
        <v>45670</v>
      </c>
      <c r="G283" s="1">
        <v>45675</v>
      </c>
      <c r="H283" t="s">
        <v>8</v>
      </c>
      <c r="I283" t="s">
        <v>3</v>
      </c>
      <c r="J283">
        <v>4</v>
      </c>
      <c r="K283" t="s">
        <v>4</v>
      </c>
      <c r="L283" t="s">
        <v>349</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350</v>
      </c>
      <c r="B284" t="s">
        <v>39</v>
      </c>
      <c r="C284">
        <v>24</v>
      </c>
      <c r="D284">
        <v>25.9</v>
      </c>
      <c r="E284">
        <v>621.59999999999991</v>
      </c>
      <c r="F284" s="1">
        <v>45670</v>
      </c>
      <c r="G284" s="1">
        <v>45671</v>
      </c>
      <c r="H284" t="s">
        <v>12</v>
      </c>
      <c r="I284" t="s">
        <v>55</v>
      </c>
      <c r="J284">
        <v>4</v>
      </c>
      <c r="K284" t="s">
        <v>4</v>
      </c>
      <c r="L284" t="s">
        <v>143</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351</v>
      </c>
      <c r="B285" t="s">
        <v>24</v>
      </c>
      <c r="C285">
        <v>3</v>
      </c>
      <c r="D285">
        <v>66.8</v>
      </c>
      <c r="E285">
        <v>200.39999999999998</v>
      </c>
      <c r="F285" s="1">
        <v>45670</v>
      </c>
      <c r="G285" s="1">
        <v>45670</v>
      </c>
      <c r="H285" t="s">
        <v>8</v>
      </c>
      <c r="I285" t="s">
        <v>3</v>
      </c>
      <c r="J285">
        <v>4</v>
      </c>
      <c r="K285" t="s">
        <v>4</v>
      </c>
      <c r="L285" t="s">
        <v>143</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352</v>
      </c>
      <c r="B286" t="s">
        <v>24</v>
      </c>
      <c r="C286">
        <v>3</v>
      </c>
      <c r="D286">
        <v>112.3</v>
      </c>
      <c r="E286">
        <v>336.9</v>
      </c>
      <c r="F286" s="1">
        <v>45670</v>
      </c>
      <c r="G286" s="1">
        <v>45671</v>
      </c>
      <c r="H286" t="s">
        <v>8</v>
      </c>
      <c r="I286" t="s">
        <v>25</v>
      </c>
      <c r="J286">
        <v>2</v>
      </c>
      <c r="K286" t="s">
        <v>4</v>
      </c>
      <c r="L286" t="s">
        <v>40</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353</v>
      </c>
      <c r="B287" t="s">
        <v>7</v>
      </c>
      <c r="C287">
        <v>6</v>
      </c>
      <c r="D287">
        <v>94.1</v>
      </c>
      <c r="E287">
        <v>564.59999999999991</v>
      </c>
      <c r="F287" s="1">
        <v>45670</v>
      </c>
      <c r="G287" s="1">
        <v>45671</v>
      </c>
      <c r="H287" t="s">
        <v>12</v>
      </c>
      <c r="I287" t="s">
        <v>3</v>
      </c>
      <c r="J287">
        <v>2</v>
      </c>
      <c r="K287" t="s">
        <v>4</v>
      </c>
      <c r="L287" t="s">
        <v>40</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354</v>
      </c>
      <c r="B288" t="s">
        <v>22</v>
      </c>
      <c r="C288">
        <v>1</v>
      </c>
      <c r="D288">
        <v>40.700000000000003</v>
      </c>
      <c r="E288">
        <v>40.700000000000003</v>
      </c>
      <c r="F288" s="1">
        <v>45670</v>
      </c>
      <c r="G288" s="1">
        <v>45673</v>
      </c>
      <c r="H288" t="s">
        <v>12</v>
      </c>
      <c r="I288" t="s">
        <v>25</v>
      </c>
      <c r="J288">
        <v>4</v>
      </c>
      <c r="K288" t="s">
        <v>4</v>
      </c>
      <c r="L288" t="s">
        <v>40</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355</v>
      </c>
      <c r="B289" t="s">
        <v>15</v>
      </c>
      <c r="C289">
        <v>2</v>
      </c>
      <c r="D289">
        <v>71.400000000000006</v>
      </c>
      <c r="E289">
        <v>142.80000000000001</v>
      </c>
      <c r="F289" s="1">
        <v>45670</v>
      </c>
      <c r="G289" s="1">
        <v>45671</v>
      </c>
      <c r="H289" t="s">
        <v>8</v>
      </c>
      <c r="I289" t="s">
        <v>3</v>
      </c>
      <c r="J289">
        <v>4</v>
      </c>
      <c r="K289" t="s">
        <v>4</v>
      </c>
      <c r="L289" t="s">
        <v>44</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356</v>
      </c>
      <c r="B290" t="s">
        <v>1</v>
      </c>
      <c r="C290">
        <v>18</v>
      </c>
      <c r="D290">
        <v>15.6</v>
      </c>
      <c r="E290">
        <v>280.8</v>
      </c>
      <c r="F290" s="1">
        <v>45670</v>
      </c>
      <c r="G290" s="1">
        <v>45671</v>
      </c>
      <c r="H290" t="s">
        <v>8</v>
      </c>
      <c r="I290" t="s">
        <v>20</v>
      </c>
      <c r="J290">
        <v>1</v>
      </c>
      <c r="K290" t="s">
        <v>4</v>
      </c>
      <c r="L290" t="s">
        <v>47</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357</v>
      </c>
      <c r="B291" t="s">
        <v>39</v>
      </c>
      <c r="C291">
        <v>4</v>
      </c>
      <c r="D291">
        <v>37.799999999999997</v>
      </c>
      <c r="E291">
        <v>151.19999999999999</v>
      </c>
      <c r="F291" s="1">
        <v>45670</v>
      </c>
      <c r="G291" s="1">
        <v>45671</v>
      </c>
      <c r="H291" t="s">
        <v>8</v>
      </c>
      <c r="I291" t="s">
        <v>25</v>
      </c>
      <c r="J291">
        <v>5</v>
      </c>
      <c r="K291" t="s">
        <v>4</v>
      </c>
      <c r="L291" t="s">
        <v>47</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358</v>
      </c>
      <c r="B292" t="s">
        <v>17</v>
      </c>
      <c r="C292">
        <v>3</v>
      </c>
      <c r="D292">
        <v>28.1</v>
      </c>
      <c r="E292">
        <v>84.300000000000011</v>
      </c>
      <c r="F292" s="1">
        <v>45670</v>
      </c>
      <c r="G292" s="1">
        <v>45674</v>
      </c>
      <c r="H292" t="s">
        <v>8</v>
      </c>
      <c r="I292" t="s">
        <v>3</v>
      </c>
      <c r="J292">
        <v>4</v>
      </c>
      <c r="K292" t="s">
        <v>4</v>
      </c>
      <c r="L292" t="s">
        <v>47</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359</v>
      </c>
      <c r="B293" t="s">
        <v>27</v>
      </c>
      <c r="C293">
        <v>6</v>
      </c>
      <c r="D293">
        <v>51.4</v>
      </c>
      <c r="E293">
        <v>308.39999999999998</v>
      </c>
      <c r="F293" s="1">
        <v>45670</v>
      </c>
      <c r="G293" s="1">
        <v>45674</v>
      </c>
      <c r="H293" t="s">
        <v>8</v>
      </c>
      <c r="I293" t="s">
        <v>3</v>
      </c>
      <c r="J293">
        <v>4</v>
      </c>
      <c r="K293" t="s">
        <v>4</v>
      </c>
      <c r="L293" t="s">
        <v>47</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360</v>
      </c>
      <c r="B294" t="s">
        <v>27</v>
      </c>
      <c r="C294">
        <v>2</v>
      </c>
      <c r="D294">
        <v>97.7</v>
      </c>
      <c r="E294">
        <v>195.4</v>
      </c>
      <c r="F294" s="1">
        <v>45670</v>
      </c>
      <c r="G294" s="1">
        <v>45672</v>
      </c>
      <c r="H294" t="s">
        <v>12</v>
      </c>
      <c r="I294" t="s">
        <v>55</v>
      </c>
      <c r="J294">
        <v>5</v>
      </c>
      <c r="K294" t="s">
        <v>4</v>
      </c>
      <c r="L294" t="s">
        <v>88</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361</v>
      </c>
      <c r="B295" t="s">
        <v>7</v>
      </c>
      <c r="C295">
        <v>4</v>
      </c>
      <c r="D295">
        <v>63.8</v>
      </c>
      <c r="E295">
        <v>255.2</v>
      </c>
      <c r="F295" s="1">
        <v>45670</v>
      </c>
      <c r="G295" s="1">
        <v>45671</v>
      </c>
      <c r="H295" t="s">
        <v>8</v>
      </c>
      <c r="I295" t="s">
        <v>25</v>
      </c>
      <c r="J295">
        <v>4</v>
      </c>
      <c r="K295" t="s">
        <v>4</v>
      </c>
      <c r="L295" t="s">
        <v>362</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363</v>
      </c>
      <c r="B296" t="s">
        <v>61</v>
      </c>
      <c r="C296">
        <v>2</v>
      </c>
      <c r="D296">
        <v>20.100000000000001</v>
      </c>
      <c r="E296">
        <v>40.200000000000003</v>
      </c>
      <c r="F296" s="1">
        <v>45670</v>
      </c>
      <c r="G296" s="1">
        <v>45672</v>
      </c>
      <c r="H296" t="s">
        <v>8</v>
      </c>
      <c r="I296" t="s">
        <v>3</v>
      </c>
      <c r="J296">
        <v>5</v>
      </c>
      <c r="K296" t="s">
        <v>4</v>
      </c>
      <c r="L296" t="s">
        <v>98</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364</v>
      </c>
      <c r="B297" t="s">
        <v>52</v>
      </c>
      <c r="C297">
        <v>3</v>
      </c>
      <c r="D297">
        <v>50.4</v>
      </c>
      <c r="E297">
        <v>151.19999999999999</v>
      </c>
      <c r="F297" s="1">
        <v>45670</v>
      </c>
      <c r="G297" s="1">
        <v>45673</v>
      </c>
      <c r="H297" t="s">
        <v>12</v>
      </c>
      <c r="I297" t="s">
        <v>36</v>
      </c>
      <c r="J297">
        <v>4</v>
      </c>
      <c r="K297" t="s">
        <v>4</v>
      </c>
      <c r="L297" t="s">
        <v>67</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365</v>
      </c>
      <c r="B298" t="s">
        <v>1</v>
      </c>
      <c r="C298">
        <v>1</v>
      </c>
      <c r="D298">
        <v>16.2</v>
      </c>
      <c r="E298">
        <v>16.2</v>
      </c>
      <c r="F298" s="1">
        <v>45670</v>
      </c>
      <c r="G298" s="1">
        <v>45683</v>
      </c>
      <c r="H298" t="s">
        <v>12</v>
      </c>
      <c r="I298" t="s">
        <v>20</v>
      </c>
      <c r="J298">
        <v>4</v>
      </c>
      <c r="K298" t="s">
        <v>4</v>
      </c>
      <c r="L298" t="s">
        <v>9</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366</v>
      </c>
      <c r="B299" t="s">
        <v>24</v>
      </c>
      <c r="C299">
        <v>7</v>
      </c>
      <c r="D299">
        <v>80.900000000000006</v>
      </c>
      <c r="E299">
        <v>566.30000000000007</v>
      </c>
      <c r="F299" s="1">
        <v>45670</v>
      </c>
      <c r="G299" s="1">
        <v>45672</v>
      </c>
      <c r="H299" t="s">
        <v>8</v>
      </c>
      <c r="I299" t="s">
        <v>55</v>
      </c>
      <c r="J299">
        <v>2</v>
      </c>
      <c r="K299" t="s">
        <v>4</v>
      </c>
      <c r="L299" t="s">
        <v>13</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367</v>
      </c>
      <c r="B300" t="s">
        <v>31</v>
      </c>
      <c r="C300">
        <v>6</v>
      </c>
      <c r="D300">
        <v>95.2</v>
      </c>
      <c r="E300">
        <v>571.20000000000005</v>
      </c>
      <c r="F300" s="1">
        <v>45670</v>
      </c>
      <c r="G300" s="1">
        <v>45672</v>
      </c>
      <c r="H300" t="s">
        <v>12</v>
      </c>
      <c r="I300" t="s">
        <v>3</v>
      </c>
      <c r="J300">
        <v>5</v>
      </c>
      <c r="K300" t="s">
        <v>4</v>
      </c>
      <c r="L300" t="s">
        <v>13</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368</v>
      </c>
      <c r="B301" t="s">
        <v>22</v>
      </c>
      <c r="C301">
        <v>8</v>
      </c>
      <c r="D301">
        <v>70.400000000000006</v>
      </c>
      <c r="E301">
        <v>563.20000000000005</v>
      </c>
      <c r="F301" s="1">
        <v>45670</v>
      </c>
      <c r="G301" s="1">
        <v>45671</v>
      </c>
      <c r="H301" t="s">
        <v>8</v>
      </c>
      <c r="I301" t="s">
        <v>20</v>
      </c>
      <c r="J301">
        <v>3</v>
      </c>
      <c r="K301" t="s">
        <v>4</v>
      </c>
      <c r="L301" t="s">
        <v>18</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369</v>
      </c>
      <c r="B302" t="s">
        <v>1</v>
      </c>
      <c r="C302">
        <v>5</v>
      </c>
      <c r="D302">
        <v>10.7</v>
      </c>
      <c r="E302">
        <v>53.5</v>
      </c>
      <c r="F302" s="1">
        <v>45670</v>
      </c>
      <c r="G302" s="1">
        <v>45674</v>
      </c>
      <c r="H302" t="s">
        <v>12</v>
      </c>
      <c r="I302" t="s">
        <v>25</v>
      </c>
      <c r="J302">
        <v>4</v>
      </c>
      <c r="K302" t="s">
        <v>4</v>
      </c>
      <c r="L302" t="s">
        <v>18</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370</v>
      </c>
      <c r="B303" t="s">
        <v>29</v>
      </c>
      <c r="C303">
        <v>5</v>
      </c>
      <c r="D303">
        <v>19.600000000000001</v>
      </c>
      <c r="E303">
        <v>98</v>
      </c>
      <c r="F303" s="1">
        <v>45670</v>
      </c>
      <c r="G303" s="1">
        <v>45672</v>
      </c>
      <c r="H303" t="s">
        <v>12</v>
      </c>
      <c r="I303" t="s">
        <v>3</v>
      </c>
      <c r="J303">
        <v>1</v>
      </c>
      <c r="K303" t="s">
        <v>4</v>
      </c>
      <c r="L303" t="s">
        <v>18</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371</v>
      </c>
      <c r="B304" t="s">
        <v>29</v>
      </c>
      <c r="C304">
        <v>11</v>
      </c>
      <c r="D304">
        <v>34.700000000000003</v>
      </c>
      <c r="E304">
        <v>381.70000000000005</v>
      </c>
      <c r="F304" s="1">
        <v>45670</v>
      </c>
      <c r="G304" s="1">
        <v>45672</v>
      </c>
      <c r="H304" t="s">
        <v>12</v>
      </c>
      <c r="I304" t="s">
        <v>3</v>
      </c>
      <c r="J304">
        <v>5</v>
      </c>
      <c r="K304" t="s">
        <v>4</v>
      </c>
      <c r="L304" t="s">
        <v>18</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372</v>
      </c>
      <c r="B305" t="s">
        <v>39</v>
      </c>
      <c r="C305">
        <v>9</v>
      </c>
      <c r="D305">
        <v>34.1</v>
      </c>
      <c r="E305">
        <v>306.90000000000003</v>
      </c>
      <c r="F305" s="1">
        <v>45670</v>
      </c>
      <c r="G305" s="1">
        <v>45671</v>
      </c>
      <c r="H305" t="s">
        <v>12</v>
      </c>
      <c r="I305" t="s">
        <v>55</v>
      </c>
      <c r="J305">
        <v>3</v>
      </c>
      <c r="K305" t="s">
        <v>4</v>
      </c>
      <c r="L305" t="s">
        <v>18</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373</v>
      </c>
      <c r="B306" t="s">
        <v>1</v>
      </c>
      <c r="C306">
        <v>49</v>
      </c>
      <c r="D306">
        <v>29.3</v>
      </c>
      <c r="E306">
        <v>1435.7</v>
      </c>
      <c r="F306" s="1">
        <v>45670</v>
      </c>
      <c r="G306" s="1">
        <v>45670</v>
      </c>
      <c r="H306" t="s">
        <v>8</v>
      </c>
      <c r="I306" t="s">
        <v>3</v>
      </c>
      <c r="J306">
        <v>3</v>
      </c>
      <c r="K306" t="s">
        <v>4</v>
      </c>
      <c r="L306" t="s">
        <v>18</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374</v>
      </c>
      <c r="B307" t="s">
        <v>7</v>
      </c>
      <c r="C307">
        <v>1</v>
      </c>
      <c r="D307">
        <v>55.2</v>
      </c>
      <c r="E307">
        <v>55.2</v>
      </c>
      <c r="F307" s="1">
        <v>45670</v>
      </c>
      <c r="G307" s="1">
        <v>45671</v>
      </c>
      <c r="H307" t="s">
        <v>12</v>
      </c>
      <c r="I307" t="s">
        <v>3</v>
      </c>
      <c r="J307">
        <v>3</v>
      </c>
      <c r="K307" t="s">
        <v>4</v>
      </c>
      <c r="L307" t="s">
        <v>18</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375</v>
      </c>
      <c r="B308" t="s">
        <v>131</v>
      </c>
      <c r="C308">
        <v>3</v>
      </c>
      <c r="D308">
        <v>26</v>
      </c>
      <c r="E308">
        <v>78</v>
      </c>
      <c r="F308" s="1">
        <v>45670</v>
      </c>
      <c r="G308" s="1">
        <v>45673</v>
      </c>
      <c r="H308" t="s">
        <v>12</v>
      </c>
      <c r="I308" t="s">
        <v>3</v>
      </c>
      <c r="J308">
        <v>5</v>
      </c>
      <c r="K308" t="s">
        <v>4</v>
      </c>
      <c r="L308" t="s">
        <v>18</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376</v>
      </c>
      <c r="B309" t="s">
        <v>66</v>
      </c>
      <c r="C309">
        <v>2</v>
      </c>
      <c r="D309">
        <v>14.2</v>
      </c>
      <c r="E309">
        <v>28.4</v>
      </c>
      <c r="F309" s="1">
        <v>45670</v>
      </c>
      <c r="G309" s="1">
        <v>45675</v>
      </c>
      <c r="H309" t="s">
        <v>12</v>
      </c>
      <c r="I309" t="s">
        <v>36</v>
      </c>
      <c r="J309">
        <v>4</v>
      </c>
      <c r="K309" t="s">
        <v>4</v>
      </c>
      <c r="L309" t="s">
        <v>377</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378</v>
      </c>
      <c r="B310" t="s">
        <v>29</v>
      </c>
      <c r="C310">
        <v>9</v>
      </c>
      <c r="D310">
        <v>22.7</v>
      </c>
      <c r="E310">
        <v>204.29999999999998</v>
      </c>
      <c r="F310" s="1">
        <v>45671</v>
      </c>
      <c r="G310" s="1">
        <v>45672</v>
      </c>
      <c r="H310" t="s">
        <v>8</v>
      </c>
      <c r="I310" t="s">
        <v>20</v>
      </c>
      <c r="J310">
        <v>4</v>
      </c>
      <c r="K310" t="s">
        <v>4</v>
      </c>
      <c r="L310" t="s">
        <v>40</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379</v>
      </c>
      <c r="B311" t="s">
        <v>1</v>
      </c>
      <c r="C311">
        <v>15</v>
      </c>
      <c r="D311">
        <v>19.8</v>
      </c>
      <c r="E311">
        <v>297</v>
      </c>
      <c r="F311" s="1">
        <v>45671</v>
      </c>
      <c r="G311" s="1">
        <v>45671</v>
      </c>
      <c r="H311" t="s">
        <v>12</v>
      </c>
      <c r="I311" t="s">
        <v>3</v>
      </c>
      <c r="J311">
        <v>5</v>
      </c>
      <c r="K311" t="s">
        <v>4</v>
      </c>
      <c r="L311" t="s">
        <v>40</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380</v>
      </c>
      <c r="B312" t="s">
        <v>1</v>
      </c>
      <c r="C312">
        <v>3</v>
      </c>
      <c r="D312">
        <v>31.7</v>
      </c>
      <c r="E312">
        <v>95.1</v>
      </c>
      <c r="F312" s="1">
        <v>45671</v>
      </c>
      <c r="G312" s="1">
        <v>45672</v>
      </c>
      <c r="H312" t="s">
        <v>8</v>
      </c>
      <c r="I312" t="s">
        <v>25</v>
      </c>
      <c r="J312">
        <v>4</v>
      </c>
      <c r="K312" t="s">
        <v>4</v>
      </c>
      <c r="L312" t="s">
        <v>40</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381</v>
      </c>
      <c r="B313" t="s">
        <v>29</v>
      </c>
      <c r="C313">
        <v>4</v>
      </c>
      <c r="D313">
        <v>30.4</v>
      </c>
      <c r="E313">
        <v>121.6</v>
      </c>
      <c r="F313" s="1">
        <v>45671</v>
      </c>
      <c r="G313" s="1">
        <v>45675</v>
      </c>
      <c r="H313" t="s">
        <v>8</v>
      </c>
      <c r="I313" t="s">
        <v>3</v>
      </c>
      <c r="J313">
        <v>4</v>
      </c>
      <c r="K313" t="s">
        <v>4</v>
      </c>
      <c r="L313" t="s">
        <v>40</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382</v>
      </c>
      <c r="B314" t="s">
        <v>1</v>
      </c>
      <c r="C314">
        <v>4</v>
      </c>
      <c r="D314">
        <v>25.6</v>
      </c>
      <c r="E314">
        <v>102.4</v>
      </c>
      <c r="F314" s="1">
        <v>45671</v>
      </c>
      <c r="G314" s="1">
        <v>45672</v>
      </c>
      <c r="H314" t="s">
        <v>8</v>
      </c>
      <c r="I314" t="s">
        <v>36</v>
      </c>
      <c r="J314">
        <v>4</v>
      </c>
      <c r="K314" t="s">
        <v>4</v>
      </c>
      <c r="L314" t="s">
        <v>47</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383</v>
      </c>
      <c r="B315" t="s">
        <v>22</v>
      </c>
      <c r="C315">
        <v>2</v>
      </c>
      <c r="D315">
        <v>34.9</v>
      </c>
      <c r="E315">
        <v>69.8</v>
      </c>
      <c r="F315" s="1">
        <v>45671</v>
      </c>
      <c r="G315" s="1">
        <v>45672</v>
      </c>
      <c r="H315" t="s">
        <v>12</v>
      </c>
      <c r="I315" t="s">
        <v>25</v>
      </c>
      <c r="J315">
        <v>4</v>
      </c>
      <c r="K315" t="s">
        <v>4</v>
      </c>
      <c r="L315" t="s">
        <v>57</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384</v>
      </c>
      <c r="B316" t="s">
        <v>27</v>
      </c>
      <c r="C316">
        <v>6</v>
      </c>
      <c r="D316">
        <v>42.7</v>
      </c>
      <c r="E316">
        <v>256.20000000000005</v>
      </c>
      <c r="F316" s="1">
        <v>45671</v>
      </c>
      <c r="G316" s="1">
        <v>45674</v>
      </c>
      <c r="H316" t="s">
        <v>8</v>
      </c>
      <c r="I316" t="s">
        <v>25</v>
      </c>
      <c r="J316">
        <v>3</v>
      </c>
      <c r="K316" t="s">
        <v>4</v>
      </c>
      <c r="L316" t="s">
        <v>62</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385</v>
      </c>
      <c r="B317" t="s">
        <v>29</v>
      </c>
      <c r="C317">
        <v>1</v>
      </c>
      <c r="D317">
        <v>23.9</v>
      </c>
      <c r="E317">
        <v>23.9</v>
      </c>
      <c r="F317" s="1">
        <v>45671</v>
      </c>
      <c r="G317" s="1">
        <v>45673</v>
      </c>
      <c r="H317" t="s">
        <v>12</v>
      </c>
      <c r="I317" t="s">
        <v>36</v>
      </c>
      <c r="J317">
        <v>4</v>
      </c>
      <c r="K317" t="s">
        <v>4</v>
      </c>
      <c r="L317" t="s">
        <v>62</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386</v>
      </c>
      <c r="B318" t="s">
        <v>24</v>
      </c>
      <c r="C318">
        <v>1</v>
      </c>
      <c r="D318">
        <v>124.3</v>
      </c>
      <c r="E318">
        <v>124.3</v>
      </c>
      <c r="F318" s="1">
        <v>45671</v>
      </c>
      <c r="G318" s="1">
        <v>45672</v>
      </c>
      <c r="H318" t="s">
        <v>2</v>
      </c>
      <c r="I318" t="s">
        <v>25</v>
      </c>
      <c r="J318">
        <v>3</v>
      </c>
      <c r="K318" t="s">
        <v>4</v>
      </c>
      <c r="L318" t="s">
        <v>100</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387</v>
      </c>
      <c r="B319" t="s">
        <v>29</v>
      </c>
      <c r="C319">
        <v>6</v>
      </c>
      <c r="D319">
        <v>35.9</v>
      </c>
      <c r="E319">
        <v>215.39999999999998</v>
      </c>
      <c r="F319" s="1">
        <v>45671</v>
      </c>
      <c r="G319" s="1">
        <v>45672</v>
      </c>
      <c r="H319" t="s">
        <v>12</v>
      </c>
      <c r="I319" t="s">
        <v>3</v>
      </c>
      <c r="J319">
        <v>3</v>
      </c>
      <c r="K319" t="s">
        <v>4</v>
      </c>
      <c r="L319" t="s">
        <v>9</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388</v>
      </c>
      <c r="B320" t="s">
        <v>11</v>
      </c>
      <c r="C320">
        <v>2</v>
      </c>
      <c r="D320">
        <v>69.099999999999994</v>
      </c>
      <c r="E320">
        <v>138.19999999999999</v>
      </c>
      <c r="F320" s="1">
        <v>45671</v>
      </c>
      <c r="G320" s="1">
        <v>45674</v>
      </c>
      <c r="H320" t="s">
        <v>12</v>
      </c>
      <c r="I320" t="s">
        <v>3</v>
      </c>
      <c r="J320">
        <v>5</v>
      </c>
      <c r="K320" t="s">
        <v>4</v>
      </c>
      <c r="L320" t="s">
        <v>132</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389</v>
      </c>
      <c r="B321" t="s">
        <v>27</v>
      </c>
      <c r="C321">
        <v>1</v>
      </c>
      <c r="D321">
        <v>58.4</v>
      </c>
      <c r="E321">
        <v>58.4</v>
      </c>
      <c r="F321" s="1">
        <v>45671</v>
      </c>
      <c r="G321" s="1">
        <v>45675</v>
      </c>
      <c r="H321" t="s">
        <v>8</v>
      </c>
      <c r="I321" t="s">
        <v>3</v>
      </c>
      <c r="J321">
        <v>4</v>
      </c>
      <c r="K321" t="s">
        <v>4</v>
      </c>
      <c r="L321" t="s">
        <v>132</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390</v>
      </c>
      <c r="B322" t="s">
        <v>22</v>
      </c>
      <c r="C322">
        <v>1</v>
      </c>
      <c r="D322">
        <v>65.2</v>
      </c>
      <c r="E322">
        <v>65.2</v>
      </c>
      <c r="F322" s="1">
        <v>45671</v>
      </c>
      <c r="G322" s="1">
        <v>45673</v>
      </c>
      <c r="H322" t="s">
        <v>74</v>
      </c>
      <c r="I322" t="s">
        <v>55</v>
      </c>
      <c r="J322">
        <v>2</v>
      </c>
      <c r="K322" t="s">
        <v>4</v>
      </c>
      <c r="L322" t="s">
        <v>18</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391</v>
      </c>
      <c r="B323" t="s">
        <v>29</v>
      </c>
      <c r="C323">
        <v>17</v>
      </c>
      <c r="D323">
        <v>32.700000000000003</v>
      </c>
      <c r="E323">
        <v>555.90000000000009</v>
      </c>
      <c r="F323" s="1">
        <v>45671</v>
      </c>
      <c r="G323" s="1">
        <v>45678</v>
      </c>
      <c r="H323" t="s">
        <v>2</v>
      </c>
      <c r="I323" t="s">
        <v>55</v>
      </c>
      <c r="J323">
        <v>4</v>
      </c>
      <c r="K323" t="s">
        <v>4</v>
      </c>
      <c r="L323" t="s">
        <v>18</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392</v>
      </c>
      <c r="B324" t="s">
        <v>39</v>
      </c>
      <c r="C324">
        <v>7</v>
      </c>
      <c r="D324">
        <v>24.4</v>
      </c>
      <c r="E324">
        <v>170.79999999999998</v>
      </c>
      <c r="F324" s="1">
        <v>45671</v>
      </c>
      <c r="G324" s="1">
        <v>45672</v>
      </c>
      <c r="H324" t="s">
        <v>12</v>
      </c>
      <c r="I324" t="s">
        <v>3</v>
      </c>
      <c r="J324">
        <v>4</v>
      </c>
      <c r="K324" t="s">
        <v>4</v>
      </c>
      <c r="L324" t="s">
        <v>18</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393</v>
      </c>
      <c r="B325" t="s">
        <v>66</v>
      </c>
      <c r="C325">
        <v>2</v>
      </c>
      <c r="D325">
        <v>50.4</v>
      </c>
      <c r="E325">
        <v>100.8</v>
      </c>
      <c r="F325" s="1">
        <v>45671</v>
      </c>
      <c r="G325" s="1">
        <v>45677</v>
      </c>
      <c r="H325" t="s">
        <v>8</v>
      </c>
      <c r="I325" t="s">
        <v>3</v>
      </c>
      <c r="J325">
        <v>3</v>
      </c>
      <c r="K325" t="s">
        <v>4</v>
      </c>
      <c r="L325" t="s">
        <v>18</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394</v>
      </c>
      <c r="B326" t="s">
        <v>7</v>
      </c>
      <c r="C326">
        <v>2</v>
      </c>
      <c r="D326">
        <v>100</v>
      </c>
      <c r="E326">
        <v>200</v>
      </c>
      <c r="F326" s="1">
        <v>45671</v>
      </c>
      <c r="G326" s="1">
        <v>45672</v>
      </c>
      <c r="H326" t="s">
        <v>12</v>
      </c>
      <c r="I326" t="s">
        <v>3</v>
      </c>
      <c r="J326">
        <v>4</v>
      </c>
      <c r="K326" t="s">
        <v>4</v>
      </c>
      <c r="L326" t="s">
        <v>18</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395</v>
      </c>
      <c r="B327" t="s">
        <v>39</v>
      </c>
      <c r="C327">
        <v>3</v>
      </c>
      <c r="D327">
        <v>43</v>
      </c>
      <c r="E327">
        <v>129</v>
      </c>
      <c r="F327" s="1">
        <v>45672</v>
      </c>
      <c r="G327" s="1">
        <v>45672</v>
      </c>
      <c r="H327" t="s">
        <v>12</v>
      </c>
      <c r="I327" t="s">
        <v>25</v>
      </c>
      <c r="J327">
        <v>3</v>
      </c>
      <c r="K327" t="s">
        <v>4</v>
      </c>
      <c r="L327" t="s">
        <v>18</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396</v>
      </c>
      <c r="B328" t="s">
        <v>7</v>
      </c>
      <c r="C328">
        <v>5</v>
      </c>
      <c r="D328">
        <v>64.400000000000006</v>
      </c>
      <c r="E328">
        <v>322</v>
      </c>
      <c r="F328" s="1">
        <v>45672</v>
      </c>
      <c r="G328" s="1">
        <v>45674</v>
      </c>
      <c r="H328" t="s">
        <v>8</v>
      </c>
      <c r="I328" t="s">
        <v>25</v>
      </c>
      <c r="J328">
        <v>3</v>
      </c>
      <c r="K328" t="s">
        <v>4</v>
      </c>
      <c r="L328" t="s">
        <v>18</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397</v>
      </c>
      <c r="B329" t="s">
        <v>131</v>
      </c>
      <c r="C329">
        <v>2</v>
      </c>
      <c r="D329">
        <v>57.4</v>
      </c>
      <c r="E329">
        <v>114.8</v>
      </c>
      <c r="F329" s="1">
        <v>45672</v>
      </c>
      <c r="G329" s="1">
        <v>45673</v>
      </c>
      <c r="H329" t="s">
        <v>8</v>
      </c>
      <c r="I329" t="s">
        <v>25</v>
      </c>
      <c r="J329">
        <v>3</v>
      </c>
      <c r="K329" t="s">
        <v>4</v>
      </c>
      <c r="L329" t="s">
        <v>18</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398</v>
      </c>
      <c r="B330" t="s">
        <v>11</v>
      </c>
      <c r="C330">
        <v>3</v>
      </c>
      <c r="D330">
        <v>55.1</v>
      </c>
      <c r="E330">
        <v>165.3</v>
      </c>
      <c r="F330" s="1">
        <v>45672</v>
      </c>
      <c r="G330" s="1">
        <v>45675</v>
      </c>
      <c r="H330" t="s">
        <v>12</v>
      </c>
      <c r="I330" t="s">
        <v>20</v>
      </c>
      <c r="J330">
        <v>4</v>
      </c>
      <c r="K330" t="s">
        <v>4</v>
      </c>
      <c r="L330" t="s">
        <v>18</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399</v>
      </c>
      <c r="B331" t="s">
        <v>27</v>
      </c>
      <c r="C331">
        <v>4</v>
      </c>
      <c r="D331">
        <v>45.4</v>
      </c>
      <c r="E331">
        <v>181.6</v>
      </c>
      <c r="F331" s="1">
        <v>45672</v>
      </c>
      <c r="G331" s="1">
        <v>45673</v>
      </c>
      <c r="H331" t="s">
        <v>12</v>
      </c>
      <c r="I331" t="s">
        <v>20</v>
      </c>
      <c r="J331">
        <v>4</v>
      </c>
      <c r="K331" t="s">
        <v>4</v>
      </c>
      <c r="L331" t="s">
        <v>18</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400</v>
      </c>
      <c r="B332" t="s">
        <v>15</v>
      </c>
      <c r="C332">
        <v>3</v>
      </c>
      <c r="D332">
        <v>93.3</v>
      </c>
      <c r="E332">
        <v>279.89999999999998</v>
      </c>
      <c r="F332" s="1">
        <v>45672</v>
      </c>
      <c r="G332" s="1">
        <v>45673</v>
      </c>
      <c r="H332" t="s">
        <v>12</v>
      </c>
      <c r="I332" t="s">
        <v>3</v>
      </c>
      <c r="J332">
        <v>4</v>
      </c>
      <c r="K332" t="s">
        <v>4</v>
      </c>
      <c r="L332" t="s">
        <v>401</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402</v>
      </c>
      <c r="B333" t="s">
        <v>11</v>
      </c>
      <c r="C333">
        <v>19</v>
      </c>
      <c r="D333">
        <v>158.19999999999999</v>
      </c>
      <c r="E333">
        <v>3005.7999999999997</v>
      </c>
      <c r="F333" s="1">
        <v>45672</v>
      </c>
      <c r="G333" s="1">
        <v>45673</v>
      </c>
      <c r="H333" t="s">
        <v>12</v>
      </c>
      <c r="I333" t="s">
        <v>20</v>
      </c>
      <c r="J333">
        <v>5</v>
      </c>
      <c r="K333" t="s">
        <v>4</v>
      </c>
      <c r="L333" t="s">
        <v>83</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403</v>
      </c>
      <c r="B334" t="s">
        <v>11</v>
      </c>
      <c r="C334">
        <v>2</v>
      </c>
      <c r="D334">
        <v>74.900000000000006</v>
      </c>
      <c r="E334">
        <v>149.80000000000001</v>
      </c>
      <c r="F334" s="1">
        <v>45672</v>
      </c>
      <c r="G334" s="1">
        <v>45674</v>
      </c>
      <c r="H334" t="s">
        <v>8</v>
      </c>
      <c r="I334" t="s">
        <v>36</v>
      </c>
      <c r="J334">
        <v>4</v>
      </c>
      <c r="K334" t="s">
        <v>4</v>
      </c>
      <c r="L334" t="s">
        <v>40</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404</v>
      </c>
      <c r="B335" t="s">
        <v>29</v>
      </c>
      <c r="C335">
        <v>7</v>
      </c>
      <c r="D335">
        <v>26</v>
      </c>
      <c r="E335">
        <v>182</v>
      </c>
      <c r="F335" s="1">
        <v>45672</v>
      </c>
      <c r="G335" s="1">
        <v>45675</v>
      </c>
      <c r="H335" t="s">
        <v>12</v>
      </c>
      <c r="I335" t="s">
        <v>20</v>
      </c>
      <c r="J335">
        <v>4</v>
      </c>
      <c r="K335" t="s">
        <v>4</v>
      </c>
      <c r="L335" t="s">
        <v>47</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405</v>
      </c>
      <c r="B336" t="s">
        <v>31</v>
      </c>
      <c r="C336">
        <v>6</v>
      </c>
      <c r="D336">
        <v>37.5</v>
      </c>
      <c r="E336">
        <v>225</v>
      </c>
      <c r="F336" s="1">
        <v>45672</v>
      </c>
      <c r="G336" s="1">
        <v>45673</v>
      </c>
      <c r="H336" t="s">
        <v>12</v>
      </c>
      <c r="I336" t="s">
        <v>3</v>
      </c>
      <c r="J336">
        <v>3</v>
      </c>
      <c r="K336" t="s">
        <v>4</v>
      </c>
      <c r="L336" t="s">
        <v>47</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406</v>
      </c>
      <c r="B337" t="s">
        <v>24</v>
      </c>
      <c r="C337">
        <v>2</v>
      </c>
      <c r="D337">
        <v>75.8</v>
      </c>
      <c r="E337">
        <v>151.6</v>
      </c>
      <c r="F337" s="1">
        <v>45672</v>
      </c>
      <c r="G337" s="1">
        <v>45678</v>
      </c>
      <c r="H337" t="s">
        <v>8</v>
      </c>
      <c r="I337" t="s">
        <v>3</v>
      </c>
      <c r="J337">
        <v>4</v>
      </c>
      <c r="K337" t="s">
        <v>4</v>
      </c>
      <c r="L337" t="s">
        <v>47</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407</v>
      </c>
      <c r="B338" t="s">
        <v>27</v>
      </c>
      <c r="C338">
        <v>1</v>
      </c>
      <c r="D338">
        <v>48.5</v>
      </c>
      <c r="E338">
        <v>48.5</v>
      </c>
      <c r="F338" s="1">
        <v>45672</v>
      </c>
      <c r="G338" s="1">
        <v>45684</v>
      </c>
      <c r="H338" t="s">
        <v>2</v>
      </c>
      <c r="I338" t="s">
        <v>55</v>
      </c>
      <c r="J338">
        <v>5</v>
      </c>
      <c r="K338" t="s">
        <v>4</v>
      </c>
      <c r="L338" t="s">
        <v>47</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408</v>
      </c>
      <c r="B339" t="s">
        <v>24</v>
      </c>
      <c r="C339">
        <v>3</v>
      </c>
      <c r="D339">
        <v>98.9</v>
      </c>
      <c r="E339">
        <v>296.70000000000005</v>
      </c>
      <c r="F339" s="1">
        <v>45672</v>
      </c>
      <c r="G339" s="1">
        <v>45674</v>
      </c>
      <c r="H339" t="s">
        <v>12</v>
      </c>
      <c r="I339" t="s">
        <v>55</v>
      </c>
      <c r="J339">
        <v>3</v>
      </c>
      <c r="K339" t="s">
        <v>4</v>
      </c>
      <c r="L339" t="s">
        <v>47</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409</v>
      </c>
      <c r="B340" t="s">
        <v>7</v>
      </c>
      <c r="C340">
        <v>12</v>
      </c>
      <c r="D340">
        <v>50.9</v>
      </c>
      <c r="E340">
        <v>610.79999999999995</v>
      </c>
      <c r="F340" s="1">
        <v>45672</v>
      </c>
      <c r="G340" s="1">
        <v>45672</v>
      </c>
      <c r="H340" t="s">
        <v>8</v>
      </c>
      <c r="I340" t="s">
        <v>55</v>
      </c>
      <c r="J340">
        <v>4</v>
      </c>
      <c r="K340" t="s">
        <v>4</v>
      </c>
      <c r="L340" t="s">
        <v>47</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410</v>
      </c>
      <c r="B341" t="s">
        <v>54</v>
      </c>
      <c r="C341">
        <v>6</v>
      </c>
      <c r="D341">
        <v>84.7</v>
      </c>
      <c r="E341">
        <v>508.20000000000005</v>
      </c>
      <c r="F341" s="1">
        <v>45672</v>
      </c>
      <c r="G341" s="1">
        <v>45672</v>
      </c>
      <c r="H341" t="s">
        <v>12</v>
      </c>
      <c r="I341" t="s">
        <v>25</v>
      </c>
      <c r="J341">
        <v>4</v>
      </c>
      <c r="K341" t="s">
        <v>4</v>
      </c>
      <c r="L341" t="s">
        <v>47</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411</v>
      </c>
      <c r="B342" t="s">
        <v>29</v>
      </c>
      <c r="C342">
        <v>1</v>
      </c>
      <c r="D342">
        <v>20.7</v>
      </c>
      <c r="E342">
        <v>20.7</v>
      </c>
      <c r="F342" s="1">
        <v>45672</v>
      </c>
      <c r="G342" s="1">
        <v>45674</v>
      </c>
      <c r="H342" t="s">
        <v>12</v>
      </c>
      <c r="I342" t="s">
        <v>36</v>
      </c>
      <c r="J342">
        <v>5</v>
      </c>
      <c r="K342" t="s">
        <v>4</v>
      </c>
      <c r="L342" t="s">
        <v>47</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412</v>
      </c>
      <c r="B343" t="s">
        <v>54</v>
      </c>
      <c r="C343">
        <v>9</v>
      </c>
      <c r="D343">
        <v>57.8</v>
      </c>
      <c r="E343">
        <v>520.19999999999993</v>
      </c>
      <c r="F343" s="1">
        <v>45672</v>
      </c>
      <c r="G343" s="1">
        <v>45683</v>
      </c>
      <c r="H343" t="s">
        <v>8</v>
      </c>
      <c r="I343" t="s">
        <v>3</v>
      </c>
      <c r="J343">
        <v>2</v>
      </c>
      <c r="K343" t="s">
        <v>4</v>
      </c>
      <c r="L343" t="s">
        <v>88</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413</v>
      </c>
      <c r="B344" t="s">
        <v>11</v>
      </c>
      <c r="C344">
        <v>2</v>
      </c>
      <c r="D344">
        <v>106.9</v>
      </c>
      <c r="E344">
        <v>213.8</v>
      </c>
      <c r="F344" s="1">
        <v>45672</v>
      </c>
      <c r="G344" s="1">
        <v>45674</v>
      </c>
      <c r="H344" t="s">
        <v>12</v>
      </c>
      <c r="I344" t="s">
        <v>3</v>
      </c>
      <c r="J344">
        <v>5</v>
      </c>
      <c r="K344" t="s">
        <v>4</v>
      </c>
      <c r="L344" t="s">
        <v>414</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415</v>
      </c>
      <c r="B345" t="s">
        <v>15</v>
      </c>
      <c r="C345">
        <v>5</v>
      </c>
      <c r="D345">
        <v>45.2</v>
      </c>
      <c r="E345">
        <v>226</v>
      </c>
      <c r="F345" s="1">
        <v>45672</v>
      </c>
      <c r="G345" s="1">
        <v>45676</v>
      </c>
      <c r="H345" t="s">
        <v>12</v>
      </c>
      <c r="I345" t="s">
        <v>20</v>
      </c>
      <c r="J345">
        <v>4</v>
      </c>
      <c r="K345" t="s">
        <v>4</v>
      </c>
      <c r="L345" t="s">
        <v>100</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416</v>
      </c>
      <c r="B346" t="s">
        <v>29</v>
      </c>
      <c r="C346">
        <v>13</v>
      </c>
      <c r="D346">
        <v>34.6</v>
      </c>
      <c r="E346">
        <v>449.8</v>
      </c>
      <c r="F346" s="1">
        <v>45672</v>
      </c>
      <c r="G346" s="1">
        <v>45672</v>
      </c>
      <c r="H346" t="s">
        <v>12</v>
      </c>
      <c r="I346" t="s">
        <v>20</v>
      </c>
      <c r="J346">
        <v>3</v>
      </c>
      <c r="K346" t="s">
        <v>4</v>
      </c>
      <c r="L346" t="s">
        <v>100</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417</v>
      </c>
      <c r="B347" t="s">
        <v>108</v>
      </c>
      <c r="C347">
        <v>1</v>
      </c>
      <c r="D347">
        <v>43.8</v>
      </c>
      <c r="E347">
        <v>43.8</v>
      </c>
      <c r="F347" s="1">
        <v>45672</v>
      </c>
      <c r="G347" s="1">
        <v>45674</v>
      </c>
      <c r="H347" t="s">
        <v>2</v>
      </c>
      <c r="I347" t="s">
        <v>3</v>
      </c>
      <c r="J347">
        <v>5</v>
      </c>
      <c r="K347" t="s">
        <v>4</v>
      </c>
      <c r="L347" t="s">
        <v>100</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418</v>
      </c>
      <c r="B348" t="s">
        <v>108</v>
      </c>
      <c r="C348">
        <v>1</v>
      </c>
      <c r="D348">
        <v>20.399999999999999</v>
      </c>
      <c r="E348">
        <v>20.399999999999999</v>
      </c>
      <c r="F348" s="1">
        <v>45672</v>
      </c>
      <c r="G348" s="1">
        <v>45674</v>
      </c>
      <c r="H348" t="s">
        <v>8</v>
      </c>
      <c r="I348" t="s">
        <v>55</v>
      </c>
      <c r="J348">
        <v>3</v>
      </c>
      <c r="K348" t="s">
        <v>4</v>
      </c>
      <c r="L348" t="s">
        <v>100</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419</v>
      </c>
      <c r="B349" t="s">
        <v>7</v>
      </c>
      <c r="C349">
        <v>1</v>
      </c>
      <c r="D349">
        <v>36.700000000000003</v>
      </c>
      <c r="E349">
        <v>36.700000000000003</v>
      </c>
      <c r="F349" s="1">
        <v>45672</v>
      </c>
      <c r="G349" s="1">
        <v>45673</v>
      </c>
      <c r="H349" t="s">
        <v>8</v>
      </c>
      <c r="I349" t="s">
        <v>3</v>
      </c>
      <c r="J349">
        <v>3</v>
      </c>
      <c r="K349" t="s">
        <v>4</v>
      </c>
      <c r="L349" t="s">
        <v>9</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420</v>
      </c>
      <c r="B350" t="s">
        <v>29</v>
      </c>
      <c r="C350">
        <v>3</v>
      </c>
      <c r="D350">
        <v>27.2</v>
      </c>
      <c r="E350">
        <v>81.599999999999994</v>
      </c>
      <c r="F350" s="1">
        <v>45672</v>
      </c>
      <c r="G350" s="1">
        <v>45676</v>
      </c>
      <c r="H350" t="s">
        <v>8</v>
      </c>
      <c r="I350" t="s">
        <v>3</v>
      </c>
      <c r="J350">
        <v>5</v>
      </c>
      <c r="K350" t="s">
        <v>4</v>
      </c>
      <c r="L350" t="s">
        <v>9</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421</v>
      </c>
      <c r="B351" t="s">
        <v>24</v>
      </c>
      <c r="C351">
        <v>1</v>
      </c>
      <c r="D351">
        <v>58.2</v>
      </c>
      <c r="E351">
        <v>58.2</v>
      </c>
      <c r="F351" s="1">
        <v>45672</v>
      </c>
      <c r="G351" s="1">
        <v>45673</v>
      </c>
      <c r="H351" t="s">
        <v>12</v>
      </c>
      <c r="I351" t="s">
        <v>3</v>
      </c>
      <c r="J351">
        <v>5</v>
      </c>
      <c r="K351" t="s">
        <v>4</v>
      </c>
      <c r="L351" t="s">
        <v>422</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423</v>
      </c>
      <c r="B352" t="s">
        <v>29</v>
      </c>
      <c r="C352">
        <v>3</v>
      </c>
      <c r="D352">
        <v>25.6</v>
      </c>
      <c r="E352">
        <v>76.800000000000011</v>
      </c>
      <c r="F352" s="1">
        <v>45672</v>
      </c>
      <c r="G352" s="1">
        <v>45673</v>
      </c>
      <c r="H352" t="s">
        <v>8</v>
      </c>
      <c r="I352" t="s">
        <v>55</v>
      </c>
      <c r="J352">
        <v>2</v>
      </c>
      <c r="K352" t="s">
        <v>4</v>
      </c>
      <c r="L352" t="s">
        <v>13</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424</v>
      </c>
      <c r="B353" t="s">
        <v>39</v>
      </c>
      <c r="C353">
        <v>1</v>
      </c>
      <c r="D353">
        <v>21.2</v>
      </c>
      <c r="E353">
        <v>21.2</v>
      </c>
      <c r="F353" s="1">
        <v>45672</v>
      </c>
      <c r="G353" s="1">
        <v>45672</v>
      </c>
      <c r="H353" t="s">
        <v>12</v>
      </c>
      <c r="I353" t="s">
        <v>20</v>
      </c>
      <c r="J353">
        <v>5</v>
      </c>
      <c r="K353" t="s">
        <v>4</v>
      </c>
      <c r="L353" t="s">
        <v>18</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425</v>
      </c>
      <c r="B354" t="s">
        <v>24</v>
      </c>
      <c r="C354">
        <v>2</v>
      </c>
      <c r="D354">
        <v>48.2</v>
      </c>
      <c r="E354">
        <v>96.4</v>
      </c>
      <c r="F354" s="1">
        <v>45672</v>
      </c>
      <c r="G354" s="1">
        <v>45680</v>
      </c>
      <c r="H354" t="s">
        <v>12</v>
      </c>
      <c r="I354" t="s">
        <v>3</v>
      </c>
      <c r="J354">
        <v>5</v>
      </c>
      <c r="K354" t="s">
        <v>4</v>
      </c>
      <c r="L354" t="s">
        <v>18</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426</v>
      </c>
      <c r="B355" t="s">
        <v>7</v>
      </c>
      <c r="C355">
        <v>4</v>
      </c>
      <c r="D355">
        <v>83.4</v>
      </c>
      <c r="E355">
        <v>333.6</v>
      </c>
      <c r="F355" s="1">
        <v>45673</v>
      </c>
      <c r="G355" s="1">
        <v>45674</v>
      </c>
      <c r="H355" t="s">
        <v>8</v>
      </c>
      <c r="I355" t="s">
        <v>3</v>
      </c>
      <c r="J355">
        <v>4</v>
      </c>
      <c r="K355" t="s">
        <v>4</v>
      </c>
      <c r="L355" t="s">
        <v>18</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427</v>
      </c>
      <c r="B356" t="s">
        <v>31</v>
      </c>
      <c r="C356">
        <v>3</v>
      </c>
      <c r="D356">
        <v>45.3</v>
      </c>
      <c r="E356">
        <v>135.89999999999998</v>
      </c>
      <c r="F356" s="1">
        <v>45673</v>
      </c>
      <c r="G356" s="1">
        <v>45679</v>
      </c>
      <c r="H356" t="s">
        <v>8</v>
      </c>
      <c r="I356" t="s">
        <v>25</v>
      </c>
      <c r="J356">
        <v>3</v>
      </c>
      <c r="K356" t="s">
        <v>4</v>
      </c>
      <c r="L356" t="s">
        <v>18</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428</v>
      </c>
      <c r="B357" t="s">
        <v>120</v>
      </c>
      <c r="C357">
        <v>1</v>
      </c>
      <c r="D357">
        <v>42</v>
      </c>
      <c r="E357">
        <v>42</v>
      </c>
      <c r="F357" s="1">
        <v>45673</v>
      </c>
      <c r="G357" s="1">
        <v>45674</v>
      </c>
      <c r="H357" t="s">
        <v>2</v>
      </c>
      <c r="I357" t="s">
        <v>3</v>
      </c>
      <c r="J357">
        <v>4</v>
      </c>
      <c r="K357" t="s">
        <v>4</v>
      </c>
      <c r="L357" t="s">
        <v>18</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429</v>
      </c>
      <c r="B358" t="s">
        <v>1</v>
      </c>
      <c r="C358">
        <v>9</v>
      </c>
      <c r="D358">
        <v>21.8</v>
      </c>
      <c r="E358">
        <v>196.20000000000002</v>
      </c>
      <c r="F358" s="1">
        <v>45673</v>
      </c>
      <c r="G358" s="1">
        <v>45675</v>
      </c>
      <c r="H358" t="s">
        <v>12</v>
      </c>
      <c r="I358" t="s">
        <v>20</v>
      </c>
      <c r="J358">
        <v>4</v>
      </c>
      <c r="K358" t="s">
        <v>4</v>
      </c>
      <c r="L358" t="s">
        <v>18</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430</v>
      </c>
      <c r="B359" t="s">
        <v>29</v>
      </c>
      <c r="C359">
        <v>18</v>
      </c>
      <c r="D359">
        <v>21.4</v>
      </c>
      <c r="E359">
        <v>385.2</v>
      </c>
      <c r="F359" s="1">
        <v>45673</v>
      </c>
      <c r="G359" s="1">
        <v>45676</v>
      </c>
      <c r="H359" t="s">
        <v>12</v>
      </c>
      <c r="I359" t="s">
        <v>20</v>
      </c>
      <c r="J359">
        <v>5</v>
      </c>
      <c r="K359" t="s">
        <v>4</v>
      </c>
      <c r="L359" t="s">
        <v>18</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431</v>
      </c>
      <c r="B360" t="s">
        <v>39</v>
      </c>
      <c r="C360">
        <v>3</v>
      </c>
      <c r="D360">
        <v>45</v>
      </c>
      <c r="E360">
        <v>135</v>
      </c>
      <c r="F360" s="1">
        <v>45673</v>
      </c>
      <c r="G360" s="1">
        <v>45673</v>
      </c>
      <c r="H360" t="s">
        <v>12</v>
      </c>
      <c r="I360" t="s">
        <v>20</v>
      </c>
      <c r="J360">
        <v>5</v>
      </c>
      <c r="K360" t="s">
        <v>4</v>
      </c>
      <c r="L360" t="s">
        <v>18</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432</v>
      </c>
      <c r="B361" t="s">
        <v>66</v>
      </c>
      <c r="C361">
        <v>1</v>
      </c>
      <c r="D361">
        <v>39.6</v>
      </c>
      <c r="E361">
        <v>39.6</v>
      </c>
      <c r="F361" s="1">
        <v>45673</v>
      </c>
      <c r="G361" s="1">
        <v>45674</v>
      </c>
      <c r="H361" t="s">
        <v>8</v>
      </c>
      <c r="I361" t="s">
        <v>3</v>
      </c>
      <c r="J361">
        <v>5</v>
      </c>
      <c r="K361" t="s">
        <v>4</v>
      </c>
      <c r="L361" t="s">
        <v>18</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433</v>
      </c>
      <c r="B362" t="s">
        <v>54</v>
      </c>
      <c r="C362">
        <v>3</v>
      </c>
      <c r="D362">
        <v>79.8</v>
      </c>
      <c r="E362">
        <v>239.39999999999998</v>
      </c>
      <c r="F362" s="1">
        <v>45673</v>
      </c>
      <c r="G362" s="1">
        <v>45679</v>
      </c>
      <c r="H362" t="s">
        <v>12</v>
      </c>
      <c r="I362" t="s">
        <v>20</v>
      </c>
      <c r="J362">
        <v>2</v>
      </c>
      <c r="K362" t="s">
        <v>4</v>
      </c>
      <c r="L362" t="s">
        <v>18</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434</v>
      </c>
      <c r="B363" t="s">
        <v>7</v>
      </c>
      <c r="C363">
        <v>4</v>
      </c>
      <c r="D363">
        <v>63.6</v>
      </c>
      <c r="E363">
        <v>254.4</v>
      </c>
      <c r="F363" s="1">
        <v>45673</v>
      </c>
      <c r="G363" s="1">
        <v>45674</v>
      </c>
      <c r="H363" t="s">
        <v>74</v>
      </c>
      <c r="I363" t="s">
        <v>3</v>
      </c>
      <c r="J363">
        <v>5</v>
      </c>
      <c r="K363" t="s">
        <v>4</v>
      </c>
      <c r="L363" t="s">
        <v>171</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435</v>
      </c>
      <c r="B364" t="s">
        <v>27</v>
      </c>
      <c r="C364">
        <v>10</v>
      </c>
      <c r="D364">
        <v>92.7</v>
      </c>
      <c r="E364">
        <v>927</v>
      </c>
      <c r="F364" s="1">
        <v>45673</v>
      </c>
      <c r="G364" s="1">
        <v>45677</v>
      </c>
      <c r="H364" t="s">
        <v>8</v>
      </c>
      <c r="I364" t="s">
        <v>20</v>
      </c>
      <c r="J364">
        <v>5</v>
      </c>
      <c r="K364" t="s">
        <v>4</v>
      </c>
      <c r="L364" t="s">
        <v>40</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436</v>
      </c>
      <c r="B365" t="s">
        <v>7</v>
      </c>
      <c r="C365">
        <v>4</v>
      </c>
      <c r="D365">
        <v>48.4</v>
      </c>
      <c r="E365">
        <v>193.6</v>
      </c>
      <c r="F365" s="1">
        <v>45673</v>
      </c>
      <c r="G365" s="1">
        <v>45675</v>
      </c>
      <c r="H365" t="s">
        <v>12</v>
      </c>
      <c r="I365" t="s">
        <v>20</v>
      </c>
      <c r="J365">
        <v>5</v>
      </c>
      <c r="K365" t="s">
        <v>4</v>
      </c>
      <c r="L365" t="s">
        <v>40</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437</v>
      </c>
      <c r="B366" t="s">
        <v>31</v>
      </c>
      <c r="C366">
        <v>8</v>
      </c>
      <c r="D366">
        <v>36</v>
      </c>
      <c r="E366">
        <v>288</v>
      </c>
      <c r="F366" s="1">
        <v>45673</v>
      </c>
      <c r="G366" s="1">
        <v>45676</v>
      </c>
      <c r="H366" t="s">
        <v>8</v>
      </c>
      <c r="I366" t="s">
        <v>25</v>
      </c>
      <c r="J366">
        <v>5</v>
      </c>
      <c r="K366" t="s">
        <v>4</v>
      </c>
      <c r="L366" t="s">
        <v>47</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438</v>
      </c>
      <c r="B367" t="s">
        <v>29</v>
      </c>
      <c r="C367">
        <v>12</v>
      </c>
      <c r="D367">
        <v>27</v>
      </c>
      <c r="E367">
        <v>324</v>
      </c>
      <c r="F367" s="1">
        <v>45673</v>
      </c>
      <c r="G367" s="1">
        <v>45675</v>
      </c>
      <c r="H367" t="s">
        <v>12</v>
      </c>
      <c r="I367" t="s">
        <v>25</v>
      </c>
      <c r="J367">
        <v>3</v>
      </c>
      <c r="K367" t="s">
        <v>4</v>
      </c>
      <c r="L367" t="s">
        <v>47</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439</v>
      </c>
      <c r="B368" t="s">
        <v>11</v>
      </c>
      <c r="C368">
        <v>8</v>
      </c>
      <c r="D368">
        <v>53.9</v>
      </c>
      <c r="E368">
        <v>431.2</v>
      </c>
      <c r="F368" s="1">
        <v>45673</v>
      </c>
      <c r="G368" s="1">
        <v>45674</v>
      </c>
      <c r="H368" t="s">
        <v>2</v>
      </c>
      <c r="I368" t="s">
        <v>3</v>
      </c>
      <c r="J368">
        <v>4</v>
      </c>
      <c r="K368" t="s">
        <v>4</v>
      </c>
      <c r="L368" t="s">
        <v>47</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440</v>
      </c>
      <c r="B369" t="s">
        <v>15</v>
      </c>
      <c r="C369">
        <v>9</v>
      </c>
      <c r="D369">
        <v>48.4</v>
      </c>
      <c r="E369">
        <v>435.59999999999997</v>
      </c>
      <c r="F369" s="1">
        <v>45673</v>
      </c>
      <c r="G369" s="1">
        <v>45674</v>
      </c>
      <c r="H369" t="s">
        <v>12</v>
      </c>
      <c r="I369" t="s">
        <v>20</v>
      </c>
      <c r="J369">
        <v>4</v>
      </c>
      <c r="K369" t="s">
        <v>4</v>
      </c>
      <c r="L369" t="s">
        <v>57</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441</v>
      </c>
      <c r="B370" t="s">
        <v>120</v>
      </c>
      <c r="C370">
        <v>2</v>
      </c>
      <c r="D370">
        <v>49.9</v>
      </c>
      <c r="E370">
        <v>99.8</v>
      </c>
      <c r="F370" s="1">
        <v>45673</v>
      </c>
      <c r="G370" s="1">
        <v>45678</v>
      </c>
      <c r="H370" t="s">
        <v>8</v>
      </c>
      <c r="I370" t="s">
        <v>55</v>
      </c>
      <c r="J370">
        <v>2</v>
      </c>
      <c r="K370" t="s">
        <v>4</v>
      </c>
      <c r="L370" t="s">
        <v>59</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442</v>
      </c>
      <c r="B371" t="s">
        <v>7</v>
      </c>
      <c r="C371">
        <v>3</v>
      </c>
      <c r="D371">
        <v>51.7</v>
      </c>
      <c r="E371">
        <v>155.10000000000002</v>
      </c>
      <c r="F371" s="1">
        <v>45673</v>
      </c>
      <c r="G371" s="1">
        <v>45674</v>
      </c>
      <c r="H371" t="s">
        <v>12</v>
      </c>
      <c r="I371" t="s">
        <v>3</v>
      </c>
      <c r="J371">
        <v>5</v>
      </c>
      <c r="K371" t="s">
        <v>4</v>
      </c>
      <c r="L371" t="s">
        <v>62</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443</v>
      </c>
      <c r="B372" t="s">
        <v>29</v>
      </c>
      <c r="C372">
        <v>3</v>
      </c>
      <c r="D372">
        <v>41.8</v>
      </c>
      <c r="E372">
        <v>125.39999999999999</v>
      </c>
      <c r="F372" s="1">
        <v>45673</v>
      </c>
      <c r="G372" s="1">
        <v>45675</v>
      </c>
      <c r="H372" t="s">
        <v>12</v>
      </c>
      <c r="I372" t="s">
        <v>25</v>
      </c>
      <c r="J372">
        <v>4</v>
      </c>
      <c r="K372" t="s">
        <v>4</v>
      </c>
      <c r="L372" t="s">
        <v>93</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444</v>
      </c>
      <c r="B373" t="s">
        <v>17</v>
      </c>
      <c r="C373">
        <v>4</v>
      </c>
      <c r="D373">
        <v>36.200000000000003</v>
      </c>
      <c r="E373">
        <v>144.80000000000001</v>
      </c>
      <c r="F373" s="1">
        <v>45674</v>
      </c>
      <c r="G373" s="1">
        <v>45675</v>
      </c>
      <c r="H373" t="s">
        <v>8</v>
      </c>
      <c r="I373" t="s">
        <v>25</v>
      </c>
      <c r="J373">
        <v>5</v>
      </c>
      <c r="K373" t="s">
        <v>4</v>
      </c>
      <c r="L373" t="s">
        <v>100</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445</v>
      </c>
      <c r="B374" t="s">
        <v>11</v>
      </c>
      <c r="C374">
        <v>1</v>
      </c>
      <c r="D374">
        <v>150.9</v>
      </c>
      <c r="E374">
        <v>150.9</v>
      </c>
      <c r="F374" s="1">
        <v>45674</v>
      </c>
      <c r="G374" s="1">
        <v>45684</v>
      </c>
      <c r="H374" t="s">
        <v>8</v>
      </c>
      <c r="I374" t="s">
        <v>3</v>
      </c>
      <c r="J374">
        <v>4</v>
      </c>
      <c r="K374" t="s">
        <v>4</v>
      </c>
      <c r="L374" t="s">
        <v>9</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446</v>
      </c>
      <c r="B375" t="s">
        <v>131</v>
      </c>
      <c r="C375">
        <v>4</v>
      </c>
      <c r="D375">
        <v>77.599999999999994</v>
      </c>
      <c r="E375">
        <v>310.39999999999998</v>
      </c>
      <c r="F375" s="1">
        <v>45674</v>
      </c>
      <c r="G375" s="1">
        <v>45675</v>
      </c>
      <c r="H375" t="s">
        <v>2</v>
      </c>
      <c r="I375" t="s">
        <v>25</v>
      </c>
      <c r="J375">
        <v>4</v>
      </c>
      <c r="K375" t="s">
        <v>4</v>
      </c>
      <c r="L375" t="s">
        <v>18</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447</v>
      </c>
      <c r="B376" t="s">
        <v>61</v>
      </c>
      <c r="C376">
        <v>5</v>
      </c>
      <c r="D376">
        <v>65.5</v>
      </c>
      <c r="E376">
        <v>327.5</v>
      </c>
      <c r="F376" s="1">
        <v>45674</v>
      </c>
      <c r="G376" s="1">
        <v>45674</v>
      </c>
      <c r="H376" t="s">
        <v>8</v>
      </c>
      <c r="I376" t="s">
        <v>20</v>
      </c>
      <c r="J376">
        <v>4</v>
      </c>
      <c r="K376" t="s">
        <v>4</v>
      </c>
      <c r="L376" t="s">
        <v>18</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448</v>
      </c>
      <c r="B377" t="s">
        <v>24</v>
      </c>
      <c r="C377">
        <v>3</v>
      </c>
      <c r="D377">
        <v>90.1</v>
      </c>
      <c r="E377">
        <v>270.29999999999995</v>
      </c>
      <c r="F377" s="1">
        <v>45674</v>
      </c>
      <c r="G377" s="1">
        <v>45676</v>
      </c>
      <c r="H377" t="s">
        <v>12</v>
      </c>
      <c r="I377" t="s">
        <v>3</v>
      </c>
      <c r="J377">
        <v>4</v>
      </c>
      <c r="K377" t="s">
        <v>4</v>
      </c>
      <c r="L377" t="s">
        <v>18</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449</v>
      </c>
      <c r="B378" t="s">
        <v>7</v>
      </c>
      <c r="C378">
        <v>2</v>
      </c>
      <c r="D378">
        <v>108.3</v>
      </c>
      <c r="E378">
        <v>216.6</v>
      </c>
      <c r="F378" s="1">
        <v>45674</v>
      </c>
      <c r="G378" s="1">
        <v>45677</v>
      </c>
      <c r="H378" t="s">
        <v>74</v>
      </c>
      <c r="I378" t="s">
        <v>55</v>
      </c>
      <c r="J378">
        <v>4</v>
      </c>
      <c r="K378" t="s">
        <v>4</v>
      </c>
      <c r="L378" t="s">
        <v>18</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450</v>
      </c>
      <c r="B379" t="s">
        <v>22</v>
      </c>
      <c r="C379">
        <v>3</v>
      </c>
      <c r="D379">
        <v>59.9</v>
      </c>
      <c r="E379">
        <v>179.7</v>
      </c>
      <c r="F379" s="1">
        <v>45674</v>
      </c>
      <c r="G379" s="1">
        <v>45678</v>
      </c>
      <c r="H379" t="s">
        <v>12</v>
      </c>
      <c r="I379" t="s">
        <v>3</v>
      </c>
      <c r="J379">
        <v>4</v>
      </c>
      <c r="K379" t="s">
        <v>4</v>
      </c>
      <c r="L379" t="s">
        <v>18</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451</v>
      </c>
      <c r="B380" t="s">
        <v>11</v>
      </c>
      <c r="C380">
        <v>17</v>
      </c>
      <c r="D380">
        <v>139</v>
      </c>
      <c r="E380">
        <v>2363</v>
      </c>
      <c r="F380" s="1">
        <v>45674</v>
      </c>
      <c r="G380" s="1">
        <v>45676</v>
      </c>
      <c r="H380" t="s">
        <v>12</v>
      </c>
      <c r="I380" t="s">
        <v>20</v>
      </c>
      <c r="J380">
        <v>2</v>
      </c>
      <c r="K380" t="s">
        <v>4</v>
      </c>
      <c r="L380" t="s">
        <v>18</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452</v>
      </c>
      <c r="B381" t="s">
        <v>24</v>
      </c>
      <c r="C381">
        <v>3</v>
      </c>
      <c r="D381">
        <v>87.3</v>
      </c>
      <c r="E381">
        <v>261.89999999999998</v>
      </c>
      <c r="F381" s="1">
        <v>45674</v>
      </c>
      <c r="G381" s="1">
        <v>45675</v>
      </c>
      <c r="H381" t="s">
        <v>12</v>
      </c>
      <c r="I381" t="s">
        <v>3</v>
      </c>
      <c r="J381">
        <v>4</v>
      </c>
      <c r="K381" t="s">
        <v>4</v>
      </c>
      <c r="L381" t="s">
        <v>18</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453</v>
      </c>
      <c r="B382" t="s">
        <v>52</v>
      </c>
      <c r="C382">
        <v>4</v>
      </c>
      <c r="D382">
        <v>42.3</v>
      </c>
      <c r="E382">
        <v>169.2</v>
      </c>
      <c r="F382" s="1">
        <v>45674</v>
      </c>
      <c r="G382" s="1">
        <v>45674</v>
      </c>
      <c r="H382" t="s">
        <v>8</v>
      </c>
      <c r="I382" t="s">
        <v>3</v>
      </c>
      <c r="J382">
        <v>4</v>
      </c>
      <c r="K382" t="s">
        <v>4</v>
      </c>
      <c r="L382" t="s">
        <v>18</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454</v>
      </c>
      <c r="B383" t="s">
        <v>66</v>
      </c>
      <c r="C383">
        <v>8</v>
      </c>
      <c r="D383">
        <v>103.6</v>
      </c>
      <c r="E383">
        <v>828.8</v>
      </c>
      <c r="F383" s="1">
        <v>45674</v>
      </c>
      <c r="G383" s="1">
        <v>45675</v>
      </c>
      <c r="H383" t="s">
        <v>74</v>
      </c>
      <c r="I383" t="s">
        <v>3</v>
      </c>
      <c r="J383">
        <v>3</v>
      </c>
      <c r="K383" t="s">
        <v>4</v>
      </c>
      <c r="L383" t="s">
        <v>18</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455</v>
      </c>
      <c r="B384" t="s">
        <v>24</v>
      </c>
      <c r="C384">
        <v>2</v>
      </c>
      <c r="D384">
        <v>90.9</v>
      </c>
      <c r="E384">
        <v>181.8</v>
      </c>
      <c r="F384" s="1">
        <v>45674</v>
      </c>
      <c r="G384" s="1">
        <v>45675</v>
      </c>
      <c r="H384" t="s">
        <v>8</v>
      </c>
      <c r="I384" t="s">
        <v>20</v>
      </c>
      <c r="J384">
        <v>4</v>
      </c>
      <c r="K384" t="s">
        <v>4</v>
      </c>
      <c r="L384" t="s">
        <v>40</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456</v>
      </c>
      <c r="B385" t="s">
        <v>31</v>
      </c>
      <c r="C385">
        <v>16</v>
      </c>
      <c r="D385">
        <v>100.9</v>
      </c>
      <c r="E385">
        <v>1614.4</v>
      </c>
      <c r="F385" s="1">
        <v>45674</v>
      </c>
      <c r="G385" s="1">
        <v>45675</v>
      </c>
      <c r="H385" t="s">
        <v>12</v>
      </c>
      <c r="I385" t="s">
        <v>20</v>
      </c>
      <c r="J385">
        <v>4</v>
      </c>
      <c r="K385" t="s">
        <v>4</v>
      </c>
      <c r="L385" t="s">
        <v>40</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457</v>
      </c>
      <c r="B386" t="s">
        <v>17</v>
      </c>
      <c r="C386">
        <v>5</v>
      </c>
      <c r="D386">
        <v>36</v>
      </c>
      <c r="E386">
        <v>180</v>
      </c>
      <c r="F386" s="1">
        <v>45674</v>
      </c>
      <c r="G386" s="1">
        <v>45676</v>
      </c>
      <c r="H386" t="s">
        <v>12</v>
      </c>
      <c r="I386" t="s">
        <v>20</v>
      </c>
      <c r="J386">
        <v>4</v>
      </c>
      <c r="K386" t="s">
        <v>4</v>
      </c>
      <c r="L386" t="s">
        <v>44</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458</v>
      </c>
      <c r="B387" t="s">
        <v>24</v>
      </c>
      <c r="C387">
        <v>6</v>
      </c>
      <c r="D387">
        <v>83.3</v>
      </c>
      <c r="E387">
        <v>499.79999999999995</v>
      </c>
      <c r="F387" s="1">
        <v>45674</v>
      </c>
      <c r="G387" s="1">
        <v>45677</v>
      </c>
      <c r="H387" t="s">
        <v>2</v>
      </c>
      <c r="I387" t="s">
        <v>25</v>
      </c>
      <c r="J387">
        <v>4</v>
      </c>
      <c r="K387" t="s">
        <v>4</v>
      </c>
      <c r="L387" t="s">
        <v>44</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459</v>
      </c>
      <c r="B388" t="s">
        <v>11</v>
      </c>
      <c r="C388">
        <v>17</v>
      </c>
      <c r="D388">
        <v>60.3</v>
      </c>
      <c r="E388">
        <v>1025.0999999999999</v>
      </c>
      <c r="F388" s="1">
        <v>45674</v>
      </c>
      <c r="G388" s="1">
        <v>45675</v>
      </c>
      <c r="H388" t="s">
        <v>8</v>
      </c>
      <c r="I388" t="s">
        <v>25</v>
      </c>
      <c r="J388">
        <v>3</v>
      </c>
      <c r="K388" t="s">
        <v>4</v>
      </c>
      <c r="L388" t="s">
        <v>44</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460</v>
      </c>
      <c r="B389" t="s">
        <v>11</v>
      </c>
      <c r="C389">
        <v>6</v>
      </c>
      <c r="D389">
        <v>120.3</v>
      </c>
      <c r="E389">
        <v>721.8</v>
      </c>
      <c r="F389" s="1">
        <v>45674</v>
      </c>
      <c r="G389" s="1">
        <v>45675</v>
      </c>
      <c r="H389" t="s">
        <v>8</v>
      </c>
      <c r="I389" t="s">
        <v>25</v>
      </c>
      <c r="J389">
        <v>4</v>
      </c>
      <c r="K389" t="s">
        <v>4</v>
      </c>
      <c r="L389" t="s">
        <v>47</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461</v>
      </c>
      <c r="B390" t="s">
        <v>17</v>
      </c>
      <c r="C390">
        <v>10</v>
      </c>
      <c r="D390">
        <v>34</v>
      </c>
      <c r="E390">
        <v>340</v>
      </c>
      <c r="F390" s="1">
        <v>45674</v>
      </c>
      <c r="G390" s="1">
        <v>45678</v>
      </c>
      <c r="H390" t="s">
        <v>12</v>
      </c>
      <c r="I390" t="s">
        <v>25</v>
      </c>
      <c r="J390">
        <v>4</v>
      </c>
      <c r="K390" t="s">
        <v>4</v>
      </c>
      <c r="L390" t="s">
        <v>47</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462</v>
      </c>
      <c r="B391" t="s">
        <v>39</v>
      </c>
      <c r="C391">
        <v>5</v>
      </c>
      <c r="D391">
        <v>42.6</v>
      </c>
      <c r="E391">
        <v>213</v>
      </c>
      <c r="F391" s="1">
        <v>45674</v>
      </c>
      <c r="G391" s="1">
        <v>45677</v>
      </c>
      <c r="H391" t="s">
        <v>8</v>
      </c>
      <c r="I391" t="s">
        <v>20</v>
      </c>
      <c r="J391">
        <v>4</v>
      </c>
      <c r="K391" t="s">
        <v>4</v>
      </c>
      <c r="L391" t="s">
        <v>47</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463</v>
      </c>
      <c r="B392" t="s">
        <v>22</v>
      </c>
      <c r="C392">
        <v>20</v>
      </c>
      <c r="D392">
        <v>47.4</v>
      </c>
      <c r="E392">
        <v>948</v>
      </c>
      <c r="F392" s="1">
        <v>45674</v>
      </c>
      <c r="G392" s="1">
        <v>45674</v>
      </c>
      <c r="H392" t="s">
        <v>12</v>
      </c>
      <c r="I392" t="s">
        <v>25</v>
      </c>
      <c r="J392">
        <v>3</v>
      </c>
      <c r="K392" t="s">
        <v>4</v>
      </c>
      <c r="L392" t="s">
        <v>88</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464</v>
      </c>
      <c r="B393" t="s">
        <v>11</v>
      </c>
      <c r="C393">
        <v>1</v>
      </c>
      <c r="D393">
        <v>74</v>
      </c>
      <c r="E393">
        <v>74</v>
      </c>
      <c r="F393" s="1">
        <v>45675</v>
      </c>
      <c r="G393" s="1">
        <v>45676</v>
      </c>
      <c r="H393" t="s">
        <v>8</v>
      </c>
      <c r="I393" t="s">
        <v>20</v>
      </c>
      <c r="J393">
        <v>4</v>
      </c>
      <c r="K393" t="s">
        <v>4</v>
      </c>
      <c r="L393" t="s">
        <v>62</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465</v>
      </c>
      <c r="B394" t="s">
        <v>11</v>
      </c>
      <c r="C394">
        <v>5</v>
      </c>
      <c r="D394">
        <v>60.4</v>
      </c>
      <c r="E394">
        <v>302</v>
      </c>
      <c r="F394" s="1">
        <v>45675</v>
      </c>
      <c r="G394" s="1">
        <v>45678</v>
      </c>
      <c r="H394" t="s">
        <v>12</v>
      </c>
      <c r="I394" t="s">
        <v>20</v>
      </c>
      <c r="J394">
        <v>2</v>
      </c>
      <c r="K394" t="s">
        <v>4</v>
      </c>
      <c r="L394" t="s">
        <v>93</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466</v>
      </c>
      <c r="B395" t="s">
        <v>54</v>
      </c>
      <c r="C395">
        <v>2</v>
      </c>
      <c r="D395">
        <v>69.3</v>
      </c>
      <c r="E395">
        <v>138.6</v>
      </c>
      <c r="F395" s="1">
        <v>45675</v>
      </c>
      <c r="G395" s="1">
        <v>45678</v>
      </c>
      <c r="H395" t="s">
        <v>8</v>
      </c>
      <c r="I395" t="s">
        <v>20</v>
      </c>
      <c r="J395">
        <v>3</v>
      </c>
      <c r="K395" t="s">
        <v>4</v>
      </c>
      <c r="L395" t="s">
        <v>67</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467</v>
      </c>
      <c r="B396" t="s">
        <v>22</v>
      </c>
      <c r="C396">
        <v>5</v>
      </c>
      <c r="D396">
        <v>81</v>
      </c>
      <c r="E396">
        <v>405</v>
      </c>
      <c r="F396" s="1">
        <v>45675</v>
      </c>
      <c r="G396" s="1">
        <v>45681</v>
      </c>
      <c r="H396" t="s">
        <v>8</v>
      </c>
      <c r="I396" t="s">
        <v>36</v>
      </c>
      <c r="J396">
        <v>4</v>
      </c>
      <c r="K396" t="s">
        <v>4</v>
      </c>
      <c r="L396" t="s">
        <v>100</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468</v>
      </c>
      <c r="B397" t="s">
        <v>108</v>
      </c>
      <c r="C397">
        <v>3</v>
      </c>
      <c r="D397">
        <v>41.5</v>
      </c>
      <c r="E397">
        <v>124.5</v>
      </c>
      <c r="F397" s="1">
        <v>45675</v>
      </c>
      <c r="G397" s="1">
        <v>45677</v>
      </c>
      <c r="H397" t="s">
        <v>74</v>
      </c>
      <c r="I397" t="s">
        <v>20</v>
      </c>
      <c r="J397">
        <v>4</v>
      </c>
      <c r="K397" t="s">
        <v>4</v>
      </c>
      <c r="L397" t="s">
        <v>100</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469</v>
      </c>
      <c r="B398" t="s">
        <v>131</v>
      </c>
      <c r="C398">
        <v>2</v>
      </c>
      <c r="D398">
        <v>69.7</v>
      </c>
      <c r="E398">
        <v>139.4</v>
      </c>
      <c r="F398" s="1">
        <v>45675</v>
      </c>
      <c r="G398" s="1">
        <v>45680</v>
      </c>
      <c r="H398" t="s">
        <v>8</v>
      </c>
      <c r="I398" t="s">
        <v>20</v>
      </c>
      <c r="J398">
        <v>4</v>
      </c>
      <c r="K398" t="s">
        <v>4</v>
      </c>
      <c r="L398" t="s">
        <v>100</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470</v>
      </c>
      <c r="B399" t="s">
        <v>11</v>
      </c>
      <c r="C399">
        <v>5</v>
      </c>
      <c r="D399">
        <v>83.6</v>
      </c>
      <c r="E399">
        <v>418</v>
      </c>
      <c r="F399" s="1">
        <v>45675</v>
      </c>
      <c r="G399" s="1">
        <v>45675</v>
      </c>
      <c r="H399" t="s">
        <v>12</v>
      </c>
      <c r="I399" t="s">
        <v>55</v>
      </c>
      <c r="J399">
        <v>4</v>
      </c>
      <c r="K399" t="s">
        <v>4</v>
      </c>
      <c r="L399" t="s">
        <v>9</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471</v>
      </c>
      <c r="B400" t="s">
        <v>29</v>
      </c>
      <c r="C400">
        <v>7</v>
      </c>
      <c r="D400">
        <v>21.5</v>
      </c>
      <c r="E400">
        <v>150.5</v>
      </c>
      <c r="F400" s="1">
        <v>45675</v>
      </c>
      <c r="G400" s="1">
        <v>45677</v>
      </c>
      <c r="H400" t="s">
        <v>8</v>
      </c>
      <c r="I400" t="s">
        <v>20</v>
      </c>
      <c r="J400">
        <v>2</v>
      </c>
      <c r="K400" t="s">
        <v>4</v>
      </c>
      <c r="L400" t="s">
        <v>319</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472</v>
      </c>
      <c r="B401" t="s">
        <v>29</v>
      </c>
      <c r="C401">
        <v>8</v>
      </c>
      <c r="D401">
        <v>28.6</v>
      </c>
      <c r="E401">
        <v>228.8</v>
      </c>
      <c r="F401" s="1">
        <v>45675</v>
      </c>
      <c r="G401" s="1">
        <v>45676</v>
      </c>
      <c r="H401" t="s">
        <v>8</v>
      </c>
      <c r="I401" t="s">
        <v>3</v>
      </c>
      <c r="J401">
        <v>4</v>
      </c>
      <c r="K401" t="s">
        <v>4</v>
      </c>
      <c r="L401" t="s">
        <v>18</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473</v>
      </c>
      <c r="B402" t="s">
        <v>29</v>
      </c>
      <c r="C402">
        <v>6</v>
      </c>
      <c r="D402">
        <v>18.8</v>
      </c>
      <c r="E402">
        <v>112.80000000000001</v>
      </c>
      <c r="F402" s="1">
        <v>45675</v>
      </c>
      <c r="G402" s="1">
        <v>45678</v>
      </c>
      <c r="H402" t="s">
        <v>8</v>
      </c>
      <c r="I402" t="s">
        <v>36</v>
      </c>
      <c r="J402">
        <v>5</v>
      </c>
      <c r="K402" t="s">
        <v>4</v>
      </c>
      <c r="L402" t="s">
        <v>18</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474</v>
      </c>
      <c r="B403" t="s">
        <v>39</v>
      </c>
      <c r="C403">
        <v>4</v>
      </c>
      <c r="D403">
        <v>35.1</v>
      </c>
      <c r="E403">
        <v>140.4</v>
      </c>
      <c r="F403" s="1">
        <v>45675</v>
      </c>
      <c r="G403" s="1">
        <v>45675</v>
      </c>
      <c r="H403" t="s">
        <v>12</v>
      </c>
      <c r="I403" t="s">
        <v>20</v>
      </c>
      <c r="J403">
        <v>3</v>
      </c>
      <c r="K403" t="s">
        <v>4</v>
      </c>
      <c r="L403" t="s">
        <v>18</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475</v>
      </c>
      <c r="B404" t="s">
        <v>1</v>
      </c>
      <c r="C404">
        <v>2</v>
      </c>
      <c r="D404">
        <v>12.7</v>
      </c>
      <c r="E404">
        <v>25.4</v>
      </c>
      <c r="F404" s="1">
        <v>45675</v>
      </c>
      <c r="G404" s="1">
        <v>45677</v>
      </c>
      <c r="H404" t="s">
        <v>12</v>
      </c>
      <c r="I404" t="s">
        <v>20</v>
      </c>
      <c r="J404">
        <v>5</v>
      </c>
      <c r="K404" t="s">
        <v>4</v>
      </c>
      <c r="L404" t="s">
        <v>18</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476</v>
      </c>
      <c r="B405" t="s">
        <v>29</v>
      </c>
      <c r="C405">
        <v>5</v>
      </c>
      <c r="D405">
        <v>27.4</v>
      </c>
      <c r="E405">
        <v>137</v>
      </c>
      <c r="F405" s="1">
        <v>45675</v>
      </c>
      <c r="G405" s="1">
        <v>45677</v>
      </c>
      <c r="H405" t="s">
        <v>74</v>
      </c>
      <c r="I405" t="s">
        <v>3</v>
      </c>
      <c r="J405">
        <v>4</v>
      </c>
      <c r="K405" t="s">
        <v>4</v>
      </c>
      <c r="L405" t="s">
        <v>18</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477</v>
      </c>
      <c r="B406" t="s">
        <v>39</v>
      </c>
      <c r="C406">
        <v>2</v>
      </c>
      <c r="D406">
        <v>61.3</v>
      </c>
      <c r="E406">
        <v>122.6</v>
      </c>
      <c r="F406" s="1">
        <v>45675</v>
      </c>
      <c r="G406" s="1">
        <v>45676</v>
      </c>
      <c r="H406" t="s">
        <v>12</v>
      </c>
      <c r="I406" t="s">
        <v>20</v>
      </c>
      <c r="J406">
        <v>4</v>
      </c>
      <c r="K406" t="s">
        <v>4</v>
      </c>
      <c r="L406" t="s">
        <v>40</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478</v>
      </c>
      <c r="B407" t="s">
        <v>29</v>
      </c>
      <c r="C407">
        <v>2</v>
      </c>
      <c r="D407">
        <v>64.7</v>
      </c>
      <c r="E407">
        <v>129.4</v>
      </c>
      <c r="F407" s="1">
        <v>45675</v>
      </c>
      <c r="G407" s="1">
        <v>45677</v>
      </c>
      <c r="H407" t="s">
        <v>12</v>
      </c>
      <c r="I407" t="s">
        <v>36</v>
      </c>
      <c r="J407">
        <v>5</v>
      </c>
      <c r="K407" t="s">
        <v>4</v>
      </c>
      <c r="L407" t="s">
        <v>40</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479</v>
      </c>
      <c r="B408" t="s">
        <v>27</v>
      </c>
      <c r="C408">
        <v>4</v>
      </c>
      <c r="D408">
        <v>91.4</v>
      </c>
      <c r="E408">
        <v>365.6</v>
      </c>
      <c r="F408" s="1">
        <v>45675</v>
      </c>
      <c r="G408" s="1">
        <v>45677</v>
      </c>
      <c r="H408" t="s">
        <v>12</v>
      </c>
      <c r="I408" t="s">
        <v>3</v>
      </c>
      <c r="J408">
        <v>4</v>
      </c>
      <c r="K408" t="s">
        <v>4</v>
      </c>
      <c r="L408" t="s">
        <v>47</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480</v>
      </c>
      <c r="B409" t="s">
        <v>1</v>
      </c>
      <c r="C409">
        <v>2</v>
      </c>
      <c r="D409">
        <v>33.1</v>
      </c>
      <c r="E409">
        <v>66.2</v>
      </c>
      <c r="F409" s="1">
        <v>45676</v>
      </c>
      <c r="G409" s="1">
        <v>45677</v>
      </c>
      <c r="H409" t="s">
        <v>8</v>
      </c>
      <c r="I409" t="s">
        <v>3</v>
      </c>
      <c r="J409">
        <v>5</v>
      </c>
      <c r="K409" t="s">
        <v>4</v>
      </c>
      <c r="L409" t="s">
        <v>47</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481</v>
      </c>
      <c r="B410" t="s">
        <v>15</v>
      </c>
      <c r="C410">
        <v>2</v>
      </c>
      <c r="D410">
        <v>105.6</v>
      </c>
      <c r="E410">
        <v>211.2</v>
      </c>
      <c r="F410" s="1">
        <v>45676</v>
      </c>
      <c r="G410" s="1">
        <v>45677</v>
      </c>
      <c r="H410" t="s">
        <v>8</v>
      </c>
      <c r="I410" t="s">
        <v>25</v>
      </c>
      <c r="J410">
        <v>3</v>
      </c>
      <c r="K410" t="s">
        <v>4</v>
      </c>
      <c r="L410" t="s">
        <v>47</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482</v>
      </c>
      <c r="B411" t="s">
        <v>39</v>
      </c>
      <c r="C411">
        <v>3</v>
      </c>
      <c r="D411">
        <v>46.4</v>
      </c>
      <c r="E411">
        <v>139.19999999999999</v>
      </c>
      <c r="F411" s="1">
        <v>45676</v>
      </c>
      <c r="G411" s="1">
        <v>45677</v>
      </c>
      <c r="H411" t="s">
        <v>8</v>
      </c>
      <c r="I411" t="s">
        <v>25</v>
      </c>
      <c r="J411">
        <v>4</v>
      </c>
      <c r="K411" t="s">
        <v>4</v>
      </c>
      <c r="L411" t="s">
        <v>57</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483</v>
      </c>
      <c r="B412" t="s">
        <v>31</v>
      </c>
      <c r="C412">
        <v>14</v>
      </c>
      <c r="D412">
        <v>35.299999999999997</v>
      </c>
      <c r="E412">
        <v>494.19999999999993</v>
      </c>
      <c r="F412" s="1">
        <v>45676</v>
      </c>
      <c r="G412" s="1">
        <v>45679</v>
      </c>
      <c r="H412" t="s">
        <v>12</v>
      </c>
      <c r="I412" t="s">
        <v>55</v>
      </c>
      <c r="J412">
        <v>3</v>
      </c>
      <c r="K412" t="s">
        <v>4</v>
      </c>
      <c r="L412" t="s">
        <v>62</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484</v>
      </c>
      <c r="B413" t="s">
        <v>1</v>
      </c>
      <c r="C413">
        <v>2</v>
      </c>
      <c r="D413">
        <v>16.100000000000001</v>
      </c>
      <c r="E413">
        <v>32.200000000000003</v>
      </c>
      <c r="F413" s="1">
        <v>45676</v>
      </c>
      <c r="G413" s="1">
        <v>45678</v>
      </c>
      <c r="H413" t="s">
        <v>8</v>
      </c>
      <c r="I413" t="s">
        <v>36</v>
      </c>
      <c r="J413">
        <v>5</v>
      </c>
      <c r="K413" t="s">
        <v>4</v>
      </c>
      <c r="L413" t="s">
        <v>294</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485</v>
      </c>
      <c r="B414" t="s">
        <v>17</v>
      </c>
      <c r="C414">
        <v>2</v>
      </c>
      <c r="D414">
        <v>27.9</v>
      </c>
      <c r="E414">
        <v>55.8</v>
      </c>
      <c r="F414" s="1">
        <v>45676</v>
      </c>
      <c r="G414" s="1">
        <v>45679</v>
      </c>
      <c r="H414" t="s">
        <v>8</v>
      </c>
      <c r="I414" t="s">
        <v>3</v>
      </c>
      <c r="J414">
        <v>4</v>
      </c>
      <c r="K414" t="s">
        <v>4</v>
      </c>
      <c r="L414" t="s">
        <v>67</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486</v>
      </c>
      <c r="B415" t="s">
        <v>29</v>
      </c>
      <c r="C415">
        <v>1</v>
      </c>
      <c r="D415">
        <v>47.1</v>
      </c>
      <c r="E415">
        <v>47.1</v>
      </c>
      <c r="F415" s="1">
        <v>45676</v>
      </c>
      <c r="G415" s="1">
        <v>45684</v>
      </c>
      <c r="H415" t="s">
        <v>12</v>
      </c>
      <c r="I415" t="s">
        <v>20</v>
      </c>
      <c r="J415">
        <v>4</v>
      </c>
      <c r="K415" t="s">
        <v>4</v>
      </c>
      <c r="L415" t="s">
        <v>13</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487</v>
      </c>
      <c r="B416" t="s">
        <v>24</v>
      </c>
      <c r="C416">
        <v>2</v>
      </c>
      <c r="D416">
        <v>85</v>
      </c>
      <c r="E416">
        <v>170</v>
      </c>
      <c r="F416" s="1">
        <v>45676</v>
      </c>
      <c r="G416" s="1">
        <v>45679</v>
      </c>
      <c r="H416" t="s">
        <v>2</v>
      </c>
      <c r="I416" t="s">
        <v>25</v>
      </c>
      <c r="J416">
        <v>5</v>
      </c>
      <c r="K416" t="s">
        <v>4</v>
      </c>
      <c r="L416" t="s">
        <v>132</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488</v>
      </c>
      <c r="B417" t="s">
        <v>131</v>
      </c>
      <c r="C417">
        <v>2</v>
      </c>
      <c r="D417">
        <v>89</v>
      </c>
      <c r="E417">
        <v>178</v>
      </c>
      <c r="F417" s="1">
        <v>45676</v>
      </c>
      <c r="G417" s="1">
        <v>45678</v>
      </c>
      <c r="H417" t="s">
        <v>12</v>
      </c>
      <c r="I417" t="s">
        <v>3</v>
      </c>
      <c r="J417">
        <v>4</v>
      </c>
      <c r="K417" t="s">
        <v>4</v>
      </c>
      <c r="L417" t="s">
        <v>18</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489</v>
      </c>
      <c r="B418" t="s">
        <v>113</v>
      </c>
      <c r="C418">
        <v>3</v>
      </c>
      <c r="D418">
        <v>36.6</v>
      </c>
      <c r="E418">
        <v>109.80000000000001</v>
      </c>
      <c r="F418" s="1">
        <v>45676</v>
      </c>
      <c r="G418" s="1">
        <v>45677</v>
      </c>
      <c r="H418" t="s">
        <v>74</v>
      </c>
      <c r="I418" t="s">
        <v>36</v>
      </c>
      <c r="J418">
        <v>5</v>
      </c>
      <c r="K418" t="s">
        <v>4</v>
      </c>
      <c r="L418" t="s">
        <v>18</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490</v>
      </c>
      <c r="B419" t="s">
        <v>24</v>
      </c>
      <c r="C419">
        <v>7</v>
      </c>
      <c r="D419">
        <v>43.5</v>
      </c>
      <c r="E419">
        <v>304.5</v>
      </c>
      <c r="F419" s="1">
        <v>45676</v>
      </c>
      <c r="G419" s="1">
        <v>45677</v>
      </c>
      <c r="H419" t="s">
        <v>8</v>
      </c>
      <c r="I419" t="s">
        <v>20</v>
      </c>
      <c r="J419">
        <v>5</v>
      </c>
      <c r="K419" t="s">
        <v>4</v>
      </c>
      <c r="L419" t="s">
        <v>18</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491</v>
      </c>
      <c r="B420" t="s">
        <v>31</v>
      </c>
      <c r="C420">
        <v>19</v>
      </c>
      <c r="D420">
        <v>30.5</v>
      </c>
      <c r="E420">
        <v>579.5</v>
      </c>
      <c r="F420" s="1">
        <v>45676</v>
      </c>
      <c r="G420" s="1">
        <v>45676</v>
      </c>
      <c r="H420" t="s">
        <v>12</v>
      </c>
      <c r="I420" t="s">
        <v>36</v>
      </c>
      <c r="J420">
        <v>4</v>
      </c>
      <c r="K420" t="s">
        <v>4</v>
      </c>
      <c r="L420" t="s">
        <v>18</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492</v>
      </c>
      <c r="B421" t="s">
        <v>7</v>
      </c>
      <c r="C421">
        <v>2</v>
      </c>
      <c r="D421">
        <v>107.7</v>
      </c>
      <c r="E421">
        <v>215.4</v>
      </c>
      <c r="F421" s="1">
        <v>45676</v>
      </c>
      <c r="G421" s="1">
        <v>45680</v>
      </c>
      <c r="H421" t="s">
        <v>8</v>
      </c>
      <c r="I421" t="s">
        <v>36</v>
      </c>
      <c r="J421">
        <v>2</v>
      </c>
      <c r="K421" t="s">
        <v>4</v>
      </c>
      <c r="L421" t="s">
        <v>18</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493</v>
      </c>
      <c r="B422" t="s">
        <v>120</v>
      </c>
      <c r="C422">
        <v>26</v>
      </c>
      <c r="D422">
        <v>57.1</v>
      </c>
      <c r="E422">
        <v>1484.6000000000001</v>
      </c>
      <c r="F422" s="1">
        <v>45676</v>
      </c>
      <c r="G422" s="1">
        <v>45677</v>
      </c>
      <c r="H422" t="s">
        <v>8</v>
      </c>
      <c r="I422" t="s">
        <v>20</v>
      </c>
      <c r="J422">
        <v>4</v>
      </c>
      <c r="K422" t="s">
        <v>4</v>
      </c>
      <c r="L422" t="s">
        <v>18</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494</v>
      </c>
      <c r="B423" t="s">
        <v>11</v>
      </c>
      <c r="C423">
        <v>10</v>
      </c>
      <c r="D423">
        <v>111.7</v>
      </c>
      <c r="E423">
        <v>1117</v>
      </c>
      <c r="F423" s="1">
        <v>45676</v>
      </c>
      <c r="G423" s="1">
        <v>45677</v>
      </c>
      <c r="H423" t="s">
        <v>12</v>
      </c>
      <c r="I423" t="s">
        <v>55</v>
      </c>
      <c r="J423">
        <v>5</v>
      </c>
      <c r="K423" t="s">
        <v>4</v>
      </c>
      <c r="L423" t="s">
        <v>18</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495</v>
      </c>
      <c r="B424" t="s">
        <v>131</v>
      </c>
      <c r="C424">
        <v>7</v>
      </c>
      <c r="D424">
        <v>44.3</v>
      </c>
      <c r="E424">
        <v>310.09999999999997</v>
      </c>
      <c r="F424" s="1">
        <v>45676</v>
      </c>
      <c r="G424" s="1">
        <v>45679</v>
      </c>
      <c r="H424" t="s">
        <v>8</v>
      </c>
      <c r="I424" t="s">
        <v>36</v>
      </c>
      <c r="J424">
        <v>5</v>
      </c>
      <c r="K424" t="s">
        <v>4</v>
      </c>
      <c r="L424" t="s">
        <v>18</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496</v>
      </c>
      <c r="B425" t="s">
        <v>11</v>
      </c>
      <c r="C425">
        <v>8</v>
      </c>
      <c r="D425">
        <v>95.8</v>
      </c>
      <c r="E425">
        <v>766.4</v>
      </c>
      <c r="F425" s="1">
        <v>45676</v>
      </c>
      <c r="G425" s="1">
        <v>45682</v>
      </c>
      <c r="H425" t="s">
        <v>74</v>
      </c>
      <c r="I425" t="s">
        <v>3</v>
      </c>
      <c r="J425">
        <v>4</v>
      </c>
      <c r="K425" t="s">
        <v>4</v>
      </c>
      <c r="L425" t="s">
        <v>18</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497</v>
      </c>
      <c r="B426" t="s">
        <v>39</v>
      </c>
      <c r="C426">
        <v>7</v>
      </c>
      <c r="D426">
        <v>22.6</v>
      </c>
      <c r="E426">
        <v>158.20000000000002</v>
      </c>
      <c r="F426" s="1">
        <v>45676</v>
      </c>
      <c r="G426" s="1">
        <v>45679</v>
      </c>
      <c r="H426" t="s">
        <v>12</v>
      </c>
      <c r="I426" t="s">
        <v>36</v>
      </c>
      <c r="J426">
        <v>3</v>
      </c>
      <c r="K426" t="s">
        <v>4</v>
      </c>
      <c r="L426" t="s">
        <v>18</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498</v>
      </c>
      <c r="B427" t="s">
        <v>29</v>
      </c>
      <c r="C427">
        <v>8</v>
      </c>
      <c r="D427">
        <v>25.6</v>
      </c>
      <c r="E427">
        <v>204.8</v>
      </c>
      <c r="F427" s="1">
        <v>45676</v>
      </c>
      <c r="G427" s="1">
        <v>45678</v>
      </c>
      <c r="H427" t="s">
        <v>12</v>
      </c>
      <c r="I427" t="s">
        <v>55</v>
      </c>
      <c r="J427">
        <v>4</v>
      </c>
      <c r="K427" t="s">
        <v>4</v>
      </c>
      <c r="L427" t="s">
        <v>18</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499</v>
      </c>
      <c r="B428" t="s">
        <v>24</v>
      </c>
      <c r="C428">
        <v>16</v>
      </c>
      <c r="D428">
        <v>54.3</v>
      </c>
      <c r="E428">
        <v>868.8</v>
      </c>
      <c r="F428" s="1">
        <v>45676</v>
      </c>
      <c r="G428" s="1">
        <v>45679</v>
      </c>
      <c r="H428" t="s">
        <v>12</v>
      </c>
      <c r="I428" t="s">
        <v>55</v>
      </c>
      <c r="J428">
        <v>4</v>
      </c>
      <c r="K428" t="s">
        <v>4</v>
      </c>
      <c r="L428" t="s">
        <v>18</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500</v>
      </c>
      <c r="B429" t="s">
        <v>131</v>
      </c>
      <c r="C429">
        <v>13</v>
      </c>
      <c r="D429">
        <v>51.3</v>
      </c>
      <c r="E429">
        <v>666.9</v>
      </c>
      <c r="F429" s="1">
        <v>45676</v>
      </c>
      <c r="G429" s="1">
        <v>45678</v>
      </c>
      <c r="H429" t="s">
        <v>8</v>
      </c>
      <c r="I429" t="s">
        <v>3</v>
      </c>
      <c r="J429">
        <v>5</v>
      </c>
      <c r="K429" t="s">
        <v>4</v>
      </c>
      <c r="L429" t="s">
        <v>18</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501</v>
      </c>
      <c r="B430" t="s">
        <v>1</v>
      </c>
      <c r="C430">
        <v>8</v>
      </c>
      <c r="D430">
        <v>25.6</v>
      </c>
      <c r="E430">
        <v>204.8</v>
      </c>
      <c r="F430" s="1">
        <v>45676</v>
      </c>
      <c r="G430" s="1">
        <v>45677</v>
      </c>
      <c r="H430" t="s">
        <v>12</v>
      </c>
      <c r="I430" t="s">
        <v>20</v>
      </c>
      <c r="J430">
        <v>3</v>
      </c>
      <c r="K430" t="s">
        <v>4</v>
      </c>
      <c r="L430" t="s">
        <v>18</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502</v>
      </c>
      <c r="B431" t="s">
        <v>1</v>
      </c>
      <c r="C431">
        <v>2</v>
      </c>
      <c r="D431">
        <v>15.6</v>
      </c>
      <c r="E431">
        <v>31.2</v>
      </c>
      <c r="F431" s="1">
        <v>45676</v>
      </c>
      <c r="G431" s="1">
        <v>45677</v>
      </c>
      <c r="H431" t="s">
        <v>12</v>
      </c>
      <c r="I431" t="s">
        <v>25</v>
      </c>
      <c r="J431">
        <v>5</v>
      </c>
      <c r="K431" t="s">
        <v>4</v>
      </c>
      <c r="L431" t="s">
        <v>18</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503</v>
      </c>
      <c r="B432" t="s">
        <v>29</v>
      </c>
      <c r="C432">
        <v>3</v>
      </c>
      <c r="D432">
        <v>30.3</v>
      </c>
      <c r="E432">
        <v>90.9</v>
      </c>
      <c r="F432" s="1">
        <v>45676</v>
      </c>
      <c r="G432" s="1">
        <v>45680</v>
      </c>
      <c r="H432" t="s">
        <v>12</v>
      </c>
      <c r="I432" t="s">
        <v>3</v>
      </c>
      <c r="J432">
        <v>3</v>
      </c>
      <c r="K432" t="s">
        <v>4</v>
      </c>
      <c r="L432" t="s">
        <v>18</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504</v>
      </c>
      <c r="B433" t="s">
        <v>54</v>
      </c>
      <c r="C433">
        <v>2</v>
      </c>
      <c r="D433">
        <v>30.3</v>
      </c>
      <c r="E433">
        <v>60.6</v>
      </c>
      <c r="F433" s="1">
        <v>45676</v>
      </c>
      <c r="G433" s="1">
        <v>45681</v>
      </c>
      <c r="H433" t="s">
        <v>12</v>
      </c>
      <c r="I433" t="s">
        <v>3</v>
      </c>
      <c r="J433">
        <v>5</v>
      </c>
      <c r="K433" t="s">
        <v>4</v>
      </c>
      <c r="L433" t="s">
        <v>349</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505</v>
      </c>
      <c r="B434" t="s">
        <v>39</v>
      </c>
      <c r="C434">
        <v>3</v>
      </c>
      <c r="D434">
        <v>53</v>
      </c>
      <c r="E434">
        <v>159</v>
      </c>
      <c r="F434" s="1">
        <v>45676</v>
      </c>
      <c r="G434" s="1">
        <v>45683</v>
      </c>
      <c r="H434" t="s">
        <v>12</v>
      </c>
      <c r="I434" t="s">
        <v>25</v>
      </c>
      <c r="J434">
        <v>4</v>
      </c>
      <c r="K434" t="s">
        <v>4</v>
      </c>
      <c r="L434" t="s">
        <v>171</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506</v>
      </c>
      <c r="B435" t="s">
        <v>22</v>
      </c>
      <c r="C435">
        <v>18</v>
      </c>
      <c r="D435">
        <v>59.9</v>
      </c>
      <c r="E435">
        <v>1078.2</v>
      </c>
      <c r="F435" s="1">
        <v>45676</v>
      </c>
      <c r="G435" s="1">
        <v>45679</v>
      </c>
      <c r="H435" t="s">
        <v>8</v>
      </c>
      <c r="I435" t="s">
        <v>25</v>
      </c>
      <c r="J435">
        <v>2</v>
      </c>
      <c r="K435" t="s">
        <v>4</v>
      </c>
      <c r="L435" t="s">
        <v>173</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507</v>
      </c>
      <c r="B436" t="s">
        <v>31</v>
      </c>
      <c r="C436">
        <v>2</v>
      </c>
      <c r="D436">
        <v>45.7</v>
      </c>
      <c r="E436">
        <v>91.4</v>
      </c>
      <c r="F436" s="1">
        <v>45676</v>
      </c>
      <c r="G436" s="1">
        <v>45677</v>
      </c>
      <c r="H436" t="s">
        <v>12</v>
      </c>
      <c r="I436" t="s">
        <v>20</v>
      </c>
      <c r="J436">
        <v>5</v>
      </c>
      <c r="K436" t="s">
        <v>4</v>
      </c>
      <c r="L436" t="s">
        <v>40</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508</v>
      </c>
      <c r="B437" t="s">
        <v>29</v>
      </c>
      <c r="C437">
        <v>4</v>
      </c>
      <c r="D437">
        <v>46.1</v>
      </c>
      <c r="E437">
        <v>184.4</v>
      </c>
      <c r="F437" s="1">
        <v>45676</v>
      </c>
      <c r="G437" s="1">
        <v>45677</v>
      </c>
      <c r="H437" t="s">
        <v>8</v>
      </c>
      <c r="I437" t="s">
        <v>3</v>
      </c>
      <c r="J437">
        <v>4</v>
      </c>
      <c r="K437" t="s">
        <v>4</v>
      </c>
      <c r="L437" t="s">
        <v>40</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509</v>
      </c>
      <c r="B438" t="s">
        <v>29</v>
      </c>
      <c r="C438">
        <v>3</v>
      </c>
      <c r="D438">
        <v>17.5</v>
      </c>
      <c r="E438">
        <v>52.5</v>
      </c>
      <c r="F438" s="1">
        <v>45676</v>
      </c>
      <c r="G438" s="1">
        <v>45677</v>
      </c>
      <c r="H438" t="s">
        <v>12</v>
      </c>
      <c r="I438" t="s">
        <v>3</v>
      </c>
      <c r="J438">
        <v>5</v>
      </c>
      <c r="K438" t="s">
        <v>4</v>
      </c>
      <c r="L438" t="s">
        <v>47</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510</v>
      </c>
      <c r="B439" t="s">
        <v>39</v>
      </c>
      <c r="C439">
        <v>3</v>
      </c>
      <c r="D439">
        <v>36.5</v>
      </c>
      <c r="E439">
        <v>109.5</v>
      </c>
      <c r="F439" s="1">
        <v>45676</v>
      </c>
      <c r="G439" s="1">
        <v>45687</v>
      </c>
      <c r="H439" t="s">
        <v>8</v>
      </c>
      <c r="I439" t="s">
        <v>25</v>
      </c>
      <c r="J439">
        <v>4</v>
      </c>
      <c r="K439" t="s">
        <v>4</v>
      </c>
      <c r="L439" t="s">
        <v>47</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511</v>
      </c>
      <c r="B440" t="s">
        <v>29</v>
      </c>
      <c r="C440">
        <v>2</v>
      </c>
      <c r="D440">
        <v>47.5</v>
      </c>
      <c r="E440">
        <v>95</v>
      </c>
      <c r="F440" s="1">
        <v>45677</v>
      </c>
      <c r="G440" s="1">
        <v>45679</v>
      </c>
      <c r="H440" t="s">
        <v>12</v>
      </c>
      <c r="I440" t="s">
        <v>20</v>
      </c>
      <c r="J440">
        <v>4</v>
      </c>
      <c r="K440" t="s">
        <v>4</v>
      </c>
      <c r="L440" t="s">
        <v>47</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512</v>
      </c>
      <c r="B441" t="s">
        <v>24</v>
      </c>
      <c r="C441">
        <v>5</v>
      </c>
      <c r="D441">
        <v>45.6</v>
      </c>
      <c r="E441">
        <v>228</v>
      </c>
      <c r="F441" s="1">
        <v>45677</v>
      </c>
      <c r="G441" s="1">
        <v>45679</v>
      </c>
      <c r="H441" t="s">
        <v>12</v>
      </c>
      <c r="I441" t="s">
        <v>3</v>
      </c>
      <c r="J441">
        <v>5</v>
      </c>
      <c r="K441" t="s">
        <v>4</v>
      </c>
      <c r="L441" t="s">
        <v>47</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513</v>
      </c>
      <c r="B442" t="s">
        <v>31</v>
      </c>
      <c r="C442">
        <v>2</v>
      </c>
      <c r="D442">
        <v>50.5</v>
      </c>
      <c r="E442">
        <v>101</v>
      </c>
      <c r="F442" s="1">
        <v>45677</v>
      </c>
      <c r="G442" s="1">
        <v>45679</v>
      </c>
      <c r="H442" t="s">
        <v>8</v>
      </c>
      <c r="I442" t="s">
        <v>3</v>
      </c>
      <c r="J442">
        <v>3</v>
      </c>
      <c r="K442" t="s">
        <v>4</v>
      </c>
      <c r="L442" t="s">
        <v>88</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514</v>
      </c>
      <c r="B443" t="s">
        <v>11</v>
      </c>
      <c r="C443">
        <v>10</v>
      </c>
      <c r="D443">
        <v>99.8</v>
      </c>
      <c r="E443">
        <v>998</v>
      </c>
      <c r="F443" s="1">
        <v>45677</v>
      </c>
      <c r="G443" s="1">
        <v>45680</v>
      </c>
      <c r="H443" t="s">
        <v>12</v>
      </c>
      <c r="I443" t="s">
        <v>25</v>
      </c>
      <c r="J443">
        <v>3</v>
      </c>
      <c r="K443" t="s">
        <v>4</v>
      </c>
      <c r="L443" t="s">
        <v>88</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515</v>
      </c>
      <c r="B444" t="s">
        <v>29</v>
      </c>
      <c r="C444">
        <v>15</v>
      </c>
      <c r="D444">
        <v>19.2</v>
      </c>
      <c r="E444">
        <v>288</v>
      </c>
      <c r="F444" s="1">
        <v>45677</v>
      </c>
      <c r="G444" s="1">
        <v>45679</v>
      </c>
      <c r="H444" t="s">
        <v>74</v>
      </c>
      <c r="I444" t="s">
        <v>55</v>
      </c>
      <c r="J444">
        <v>3</v>
      </c>
      <c r="K444" t="s">
        <v>4</v>
      </c>
      <c r="L444" t="s">
        <v>186</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516</v>
      </c>
      <c r="B445" t="s">
        <v>120</v>
      </c>
      <c r="C445">
        <v>3</v>
      </c>
      <c r="D445">
        <v>22.6</v>
      </c>
      <c r="E445">
        <v>67.800000000000011</v>
      </c>
      <c r="F445" s="1">
        <v>45677</v>
      </c>
      <c r="G445" s="1">
        <v>45678</v>
      </c>
      <c r="H445" t="s">
        <v>8</v>
      </c>
      <c r="I445" t="s">
        <v>20</v>
      </c>
      <c r="J445">
        <v>4</v>
      </c>
      <c r="K445" t="s">
        <v>4</v>
      </c>
      <c r="L445" t="s">
        <v>62</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517</v>
      </c>
      <c r="B446" t="s">
        <v>7</v>
      </c>
      <c r="C446">
        <v>15</v>
      </c>
      <c r="D446">
        <v>126.9</v>
      </c>
      <c r="E446">
        <v>1903.5</v>
      </c>
      <c r="F446" s="1">
        <v>45677</v>
      </c>
      <c r="G446" s="1">
        <v>45679</v>
      </c>
      <c r="H446" t="s">
        <v>12</v>
      </c>
      <c r="I446" t="s">
        <v>3</v>
      </c>
      <c r="J446">
        <v>5</v>
      </c>
      <c r="K446" t="s">
        <v>4</v>
      </c>
      <c r="L446" t="s">
        <v>62</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518</v>
      </c>
      <c r="B447" t="s">
        <v>11</v>
      </c>
      <c r="C447">
        <v>2</v>
      </c>
      <c r="D447">
        <v>100.3</v>
      </c>
      <c r="E447">
        <v>200.6</v>
      </c>
      <c r="F447" s="1">
        <v>45677</v>
      </c>
      <c r="G447" s="1">
        <v>45678</v>
      </c>
      <c r="H447" t="s">
        <v>12</v>
      </c>
      <c r="I447" t="s">
        <v>3</v>
      </c>
      <c r="J447">
        <v>3</v>
      </c>
      <c r="K447" t="s">
        <v>4</v>
      </c>
      <c r="L447" t="s">
        <v>62</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519</v>
      </c>
      <c r="B448" t="s">
        <v>17</v>
      </c>
      <c r="C448">
        <v>18</v>
      </c>
      <c r="D448">
        <v>24.6</v>
      </c>
      <c r="E448">
        <v>442.8</v>
      </c>
      <c r="F448" s="1">
        <v>45677</v>
      </c>
      <c r="G448" s="1">
        <v>45678</v>
      </c>
      <c r="H448" t="s">
        <v>12</v>
      </c>
      <c r="I448" t="s">
        <v>55</v>
      </c>
      <c r="J448">
        <v>4</v>
      </c>
      <c r="K448" t="s">
        <v>4</v>
      </c>
      <c r="L448" t="s">
        <v>67</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520</v>
      </c>
      <c r="B449" t="s">
        <v>24</v>
      </c>
      <c r="C449">
        <v>2</v>
      </c>
      <c r="D449">
        <v>47.3</v>
      </c>
      <c r="E449">
        <v>94.6</v>
      </c>
      <c r="F449" s="1">
        <v>45677</v>
      </c>
      <c r="G449" s="1">
        <v>45678</v>
      </c>
      <c r="H449" t="s">
        <v>8</v>
      </c>
      <c r="I449" t="s">
        <v>20</v>
      </c>
      <c r="J449">
        <v>5</v>
      </c>
      <c r="K449" t="s">
        <v>4</v>
      </c>
      <c r="L449" t="s">
        <v>67</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521</v>
      </c>
      <c r="B450" t="s">
        <v>24</v>
      </c>
      <c r="C450">
        <v>7</v>
      </c>
      <c r="D450">
        <v>40.799999999999997</v>
      </c>
      <c r="E450">
        <v>285.59999999999997</v>
      </c>
      <c r="F450" s="1">
        <v>45677</v>
      </c>
      <c r="G450" s="1">
        <v>45680</v>
      </c>
      <c r="H450" t="s">
        <v>12</v>
      </c>
      <c r="I450" t="s">
        <v>25</v>
      </c>
      <c r="J450">
        <v>5</v>
      </c>
      <c r="K450" t="s">
        <v>4</v>
      </c>
      <c r="L450" t="s">
        <v>100</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522</v>
      </c>
      <c r="B451" t="s">
        <v>29</v>
      </c>
      <c r="C451">
        <v>8</v>
      </c>
      <c r="D451">
        <v>49.2</v>
      </c>
      <c r="E451">
        <v>393.6</v>
      </c>
      <c r="F451" s="1">
        <v>45677</v>
      </c>
      <c r="G451" s="1">
        <v>45679</v>
      </c>
      <c r="H451" t="s">
        <v>12</v>
      </c>
      <c r="I451" t="s">
        <v>3</v>
      </c>
      <c r="J451">
        <v>4</v>
      </c>
      <c r="K451" t="s">
        <v>4</v>
      </c>
      <c r="L451" t="s">
        <v>9</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523</v>
      </c>
      <c r="B452" t="s">
        <v>29</v>
      </c>
      <c r="C452">
        <v>1</v>
      </c>
      <c r="D452">
        <v>28.5</v>
      </c>
      <c r="E452">
        <v>28.5</v>
      </c>
      <c r="F452" s="1">
        <v>45677</v>
      </c>
      <c r="G452" s="1">
        <v>45679</v>
      </c>
      <c r="H452" t="s">
        <v>2</v>
      </c>
      <c r="I452" t="s">
        <v>25</v>
      </c>
      <c r="J452">
        <v>3</v>
      </c>
      <c r="K452" t="s">
        <v>4</v>
      </c>
      <c r="L452" t="s">
        <v>18</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524</v>
      </c>
      <c r="B453" t="s">
        <v>131</v>
      </c>
      <c r="C453">
        <v>2</v>
      </c>
      <c r="D453">
        <v>36.799999999999997</v>
      </c>
      <c r="E453">
        <v>73.599999999999994</v>
      </c>
      <c r="F453" s="1">
        <v>45677</v>
      </c>
      <c r="G453" s="1">
        <v>45683</v>
      </c>
      <c r="H453" t="s">
        <v>12</v>
      </c>
      <c r="I453" t="s">
        <v>3</v>
      </c>
      <c r="J453">
        <v>5</v>
      </c>
      <c r="K453" t="s">
        <v>4</v>
      </c>
      <c r="L453" t="s">
        <v>18</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525</v>
      </c>
      <c r="B454" t="s">
        <v>27</v>
      </c>
      <c r="C454">
        <v>3</v>
      </c>
      <c r="D454">
        <v>33.5</v>
      </c>
      <c r="E454">
        <v>100.5</v>
      </c>
      <c r="F454" s="1">
        <v>45677</v>
      </c>
      <c r="G454" s="1">
        <v>45678</v>
      </c>
      <c r="H454" t="s">
        <v>12</v>
      </c>
      <c r="I454" t="s">
        <v>3</v>
      </c>
      <c r="J454">
        <v>3</v>
      </c>
      <c r="K454" t="s">
        <v>4</v>
      </c>
      <c r="L454" t="s">
        <v>18</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526</v>
      </c>
      <c r="B455" t="s">
        <v>24</v>
      </c>
      <c r="C455">
        <v>6</v>
      </c>
      <c r="D455">
        <v>62.5</v>
      </c>
      <c r="E455">
        <v>375</v>
      </c>
      <c r="F455" s="1">
        <v>45677</v>
      </c>
      <c r="G455" s="1">
        <v>45679</v>
      </c>
      <c r="H455" t="s">
        <v>12</v>
      </c>
      <c r="I455" t="s">
        <v>3</v>
      </c>
      <c r="J455">
        <v>4</v>
      </c>
      <c r="K455" t="s">
        <v>4</v>
      </c>
      <c r="L455" t="s">
        <v>18</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527</v>
      </c>
      <c r="B456" t="s">
        <v>29</v>
      </c>
      <c r="C456">
        <v>40</v>
      </c>
      <c r="D456">
        <v>47.9</v>
      </c>
      <c r="E456">
        <v>1916</v>
      </c>
      <c r="F456" s="1">
        <v>45677</v>
      </c>
      <c r="G456" s="1">
        <v>45678</v>
      </c>
      <c r="H456" t="s">
        <v>12</v>
      </c>
      <c r="I456" t="s">
        <v>36</v>
      </c>
      <c r="J456">
        <v>4</v>
      </c>
      <c r="K456" t="s">
        <v>4</v>
      </c>
      <c r="L456" t="s">
        <v>18</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528</v>
      </c>
      <c r="B457" t="s">
        <v>24</v>
      </c>
      <c r="C457">
        <v>6</v>
      </c>
      <c r="D457">
        <v>92.9</v>
      </c>
      <c r="E457">
        <v>557.40000000000009</v>
      </c>
      <c r="F457" s="1">
        <v>45677</v>
      </c>
      <c r="G457" s="1">
        <v>45688</v>
      </c>
      <c r="H457" t="s">
        <v>12</v>
      </c>
      <c r="I457" t="s">
        <v>3</v>
      </c>
      <c r="J457">
        <v>2</v>
      </c>
      <c r="K457" t="s">
        <v>4</v>
      </c>
      <c r="L457" t="s">
        <v>18</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529</v>
      </c>
      <c r="B458" t="s">
        <v>54</v>
      </c>
      <c r="C458">
        <v>3</v>
      </c>
      <c r="D458">
        <v>44.1</v>
      </c>
      <c r="E458">
        <v>132.30000000000001</v>
      </c>
      <c r="F458" s="1">
        <v>45677</v>
      </c>
      <c r="G458" s="1">
        <v>45677</v>
      </c>
      <c r="H458" t="s">
        <v>12</v>
      </c>
      <c r="I458" t="s">
        <v>20</v>
      </c>
      <c r="J458">
        <v>3</v>
      </c>
      <c r="K458" t="s">
        <v>4</v>
      </c>
      <c r="L458" t="s">
        <v>530</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531</v>
      </c>
      <c r="B459" t="s">
        <v>1</v>
      </c>
      <c r="C459">
        <v>1</v>
      </c>
      <c r="D459">
        <v>11.4</v>
      </c>
      <c r="E459">
        <v>11.4</v>
      </c>
      <c r="F459" s="1">
        <v>45678</v>
      </c>
      <c r="G459" s="1">
        <v>45680</v>
      </c>
      <c r="H459" t="s">
        <v>12</v>
      </c>
      <c r="I459" t="s">
        <v>25</v>
      </c>
      <c r="J459">
        <v>4</v>
      </c>
      <c r="K459" t="s">
        <v>4</v>
      </c>
      <c r="L459" t="s">
        <v>37</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532</v>
      </c>
      <c r="B460" t="s">
        <v>24</v>
      </c>
      <c r="C460">
        <v>1</v>
      </c>
      <c r="D460">
        <v>83.7</v>
      </c>
      <c r="E460">
        <v>83.7</v>
      </c>
      <c r="F460" s="1">
        <v>45678</v>
      </c>
      <c r="G460" s="1">
        <v>45680</v>
      </c>
      <c r="H460" t="s">
        <v>12</v>
      </c>
      <c r="I460" t="s">
        <v>3</v>
      </c>
      <c r="J460">
        <v>5</v>
      </c>
      <c r="K460" t="s">
        <v>4</v>
      </c>
      <c r="L460" t="s">
        <v>40</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533</v>
      </c>
      <c r="B461" t="s">
        <v>39</v>
      </c>
      <c r="C461">
        <v>2</v>
      </c>
      <c r="D461">
        <v>23.2</v>
      </c>
      <c r="E461">
        <v>46.4</v>
      </c>
      <c r="F461" s="1">
        <v>45678</v>
      </c>
      <c r="G461" s="1">
        <v>45679</v>
      </c>
      <c r="H461" t="s">
        <v>8</v>
      </c>
      <c r="I461" t="s">
        <v>25</v>
      </c>
      <c r="J461">
        <v>4</v>
      </c>
      <c r="K461" t="s">
        <v>4</v>
      </c>
      <c r="L461" t="s">
        <v>47</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534</v>
      </c>
      <c r="B462" t="s">
        <v>11</v>
      </c>
      <c r="C462">
        <v>1</v>
      </c>
      <c r="D462">
        <v>162.1</v>
      </c>
      <c r="E462">
        <v>162.1</v>
      </c>
      <c r="F462" s="1">
        <v>45678</v>
      </c>
      <c r="G462" s="1">
        <v>45681</v>
      </c>
      <c r="H462" t="s">
        <v>12</v>
      </c>
      <c r="I462" t="s">
        <v>3</v>
      </c>
      <c r="J462">
        <v>5</v>
      </c>
      <c r="K462" t="s">
        <v>4</v>
      </c>
      <c r="L462" t="s">
        <v>57</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535</v>
      </c>
      <c r="B463" t="s">
        <v>24</v>
      </c>
      <c r="C463">
        <v>4</v>
      </c>
      <c r="D463">
        <v>49.2</v>
      </c>
      <c r="E463">
        <v>196.8</v>
      </c>
      <c r="F463" s="1">
        <v>45678</v>
      </c>
      <c r="G463" s="1">
        <v>45682</v>
      </c>
      <c r="H463" t="s">
        <v>8</v>
      </c>
      <c r="I463" t="s">
        <v>20</v>
      </c>
      <c r="J463">
        <v>4</v>
      </c>
      <c r="K463" t="s">
        <v>4</v>
      </c>
      <c r="L463" t="s">
        <v>57</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536</v>
      </c>
      <c r="B464" t="s">
        <v>7</v>
      </c>
      <c r="C464">
        <v>2</v>
      </c>
      <c r="D464">
        <v>61</v>
      </c>
      <c r="E464">
        <v>122</v>
      </c>
      <c r="F464" s="1">
        <v>45678</v>
      </c>
      <c r="G464" s="1">
        <v>45679</v>
      </c>
      <c r="H464" t="s">
        <v>8</v>
      </c>
      <c r="I464" t="s">
        <v>36</v>
      </c>
      <c r="J464">
        <v>4</v>
      </c>
      <c r="K464" t="s">
        <v>4</v>
      </c>
      <c r="L464" t="s">
        <v>59</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537</v>
      </c>
      <c r="B465" t="s">
        <v>11</v>
      </c>
      <c r="C465">
        <v>10</v>
      </c>
      <c r="D465">
        <v>53.1</v>
      </c>
      <c r="E465">
        <v>531</v>
      </c>
      <c r="F465" s="1">
        <v>45678</v>
      </c>
      <c r="G465" s="1">
        <v>45680</v>
      </c>
      <c r="H465" t="s">
        <v>8</v>
      </c>
      <c r="I465" t="s">
        <v>3</v>
      </c>
      <c r="J465">
        <v>4</v>
      </c>
      <c r="K465" t="s">
        <v>4</v>
      </c>
      <c r="L465" t="s">
        <v>62</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538</v>
      </c>
      <c r="B466" t="s">
        <v>17</v>
      </c>
      <c r="C466">
        <v>2</v>
      </c>
      <c r="D466">
        <v>22.4</v>
      </c>
      <c r="E466">
        <v>44.8</v>
      </c>
      <c r="F466" s="1">
        <v>45678</v>
      </c>
      <c r="G466" s="1">
        <v>45680</v>
      </c>
      <c r="H466" t="s">
        <v>2</v>
      </c>
      <c r="I466" t="s">
        <v>20</v>
      </c>
      <c r="J466">
        <v>5</v>
      </c>
      <c r="K466" t="s">
        <v>4</v>
      </c>
      <c r="L466" t="s">
        <v>67</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539</v>
      </c>
      <c r="B467" t="s">
        <v>7</v>
      </c>
      <c r="C467">
        <v>5</v>
      </c>
      <c r="D467">
        <v>75.3</v>
      </c>
      <c r="E467">
        <v>376.5</v>
      </c>
      <c r="F467" s="1">
        <v>45678</v>
      </c>
      <c r="G467" s="1">
        <v>45679</v>
      </c>
      <c r="H467" t="s">
        <v>8</v>
      </c>
      <c r="I467" t="s">
        <v>3</v>
      </c>
      <c r="J467">
        <v>4</v>
      </c>
      <c r="K467" t="s">
        <v>4</v>
      </c>
      <c r="L467" t="s">
        <v>100</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540</v>
      </c>
      <c r="B468" t="s">
        <v>24</v>
      </c>
      <c r="C468">
        <v>1</v>
      </c>
      <c r="D468">
        <v>48.5</v>
      </c>
      <c r="E468">
        <v>48.5</v>
      </c>
      <c r="F468" s="1">
        <v>45678</v>
      </c>
      <c r="G468" s="1">
        <v>45679</v>
      </c>
      <c r="H468" t="s">
        <v>12</v>
      </c>
      <c r="I468" t="s">
        <v>3</v>
      </c>
      <c r="J468">
        <v>3</v>
      </c>
      <c r="K468" t="s">
        <v>4</v>
      </c>
      <c r="L468" t="s">
        <v>100</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541</v>
      </c>
      <c r="B469" t="s">
        <v>24</v>
      </c>
      <c r="C469">
        <v>1</v>
      </c>
      <c r="D469">
        <v>42.6</v>
      </c>
      <c r="E469">
        <v>42.6</v>
      </c>
      <c r="F469" s="1">
        <v>45678</v>
      </c>
      <c r="G469" s="1">
        <v>45682</v>
      </c>
      <c r="H469" t="s">
        <v>12</v>
      </c>
      <c r="I469" t="s">
        <v>36</v>
      </c>
      <c r="J469">
        <v>4</v>
      </c>
      <c r="K469" t="s">
        <v>4</v>
      </c>
      <c r="L469" t="s">
        <v>9</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542</v>
      </c>
      <c r="B470" t="s">
        <v>22</v>
      </c>
      <c r="C470">
        <v>5</v>
      </c>
      <c r="D470">
        <v>49</v>
      </c>
      <c r="E470">
        <v>245</v>
      </c>
      <c r="F470" s="1">
        <v>45678</v>
      </c>
      <c r="G470" s="1">
        <v>45679</v>
      </c>
      <c r="H470" t="s">
        <v>8</v>
      </c>
      <c r="I470" t="s">
        <v>3</v>
      </c>
      <c r="J470">
        <v>4</v>
      </c>
      <c r="K470" t="s">
        <v>4</v>
      </c>
      <c r="L470" t="s">
        <v>132</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543</v>
      </c>
      <c r="B471" t="s">
        <v>29</v>
      </c>
      <c r="C471">
        <v>3</v>
      </c>
      <c r="D471">
        <v>31.3</v>
      </c>
      <c r="E471">
        <v>93.9</v>
      </c>
      <c r="F471" s="1">
        <v>45678</v>
      </c>
      <c r="G471" s="1">
        <v>45679</v>
      </c>
      <c r="H471" t="s">
        <v>8</v>
      </c>
      <c r="I471" t="s">
        <v>25</v>
      </c>
      <c r="J471">
        <v>3</v>
      </c>
      <c r="K471" t="s">
        <v>4</v>
      </c>
      <c r="L471" t="s">
        <v>18</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544</v>
      </c>
      <c r="B472" t="s">
        <v>11</v>
      </c>
      <c r="C472">
        <v>2</v>
      </c>
      <c r="D472">
        <v>85.4</v>
      </c>
      <c r="E472">
        <v>170.8</v>
      </c>
      <c r="F472" s="1">
        <v>45678</v>
      </c>
      <c r="G472" s="1">
        <v>45679</v>
      </c>
      <c r="H472" t="s">
        <v>12</v>
      </c>
      <c r="I472" t="s">
        <v>25</v>
      </c>
      <c r="J472">
        <v>4</v>
      </c>
      <c r="K472" t="s">
        <v>4</v>
      </c>
      <c r="L472" t="s">
        <v>18</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545</v>
      </c>
      <c r="B473" t="s">
        <v>29</v>
      </c>
      <c r="C473">
        <v>4</v>
      </c>
      <c r="D473">
        <v>40</v>
      </c>
      <c r="E473">
        <v>160</v>
      </c>
      <c r="F473" s="1">
        <v>45678</v>
      </c>
      <c r="G473" s="1">
        <v>45679</v>
      </c>
      <c r="H473" t="s">
        <v>74</v>
      </c>
      <c r="I473" t="s">
        <v>3</v>
      </c>
      <c r="J473">
        <v>5</v>
      </c>
      <c r="K473" t="s">
        <v>4</v>
      </c>
      <c r="L473" t="s">
        <v>18</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546</v>
      </c>
      <c r="B474" t="s">
        <v>22</v>
      </c>
      <c r="C474">
        <v>2</v>
      </c>
      <c r="D474">
        <v>38.5</v>
      </c>
      <c r="E474">
        <v>77</v>
      </c>
      <c r="F474" s="1">
        <v>45678</v>
      </c>
      <c r="G474" s="1">
        <v>45681</v>
      </c>
      <c r="H474" t="s">
        <v>8</v>
      </c>
      <c r="I474" t="s">
        <v>20</v>
      </c>
      <c r="J474">
        <v>5</v>
      </c>
      <c r="K474" t="s">
        <v>4</v>
      </c>
      <c r="L474" t="s">
        <v>18</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547</v>
      </c>
      <c r="B475" t="s">
        <v>11</v>
      </c>
      <c r="C475">
        <v>2</v>
      </c>
      <c r="D475">
        <v>57.8</v>
      </c>
      <c r="E475">
        <v>115.6</v>
      </c>
      <c r="F475" s="1">
        <v>45678</v>
      </c>
      <c r="G475" s="1">
        <v>45679</v>
      </c>
      <c r="H475" t="s">
        <v>2</v>
      </c>
      <c r="I475" t="s">
        <v>3</v>
      </c>
      <c r="J475">
        <v>4</v>
      </c>
      <c r="K475" t="s">
        <v>4</v>
      </c>
      <c r="L475" t="s">
        <v>18</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548</v>
      </c>
      <c r="B476" t="s">
        <v>29</v>
      </c>
      <c r="C476">
        <v>1</v>
      </c>
      <c r="D476">
        <v>19.2</v>
      </c>
      <c r="E476">
        <v>19.2</v>
      </c>
      <c r="F476" s="1">
        <v>45678</v>
      </c>
      <c r="G476" s="1">
        <v>45679</v>
      </c>
      <c r="H476" t="s">
        <v>12</v>
      </c>
      <c r="I476" t="s">
        <v>3</v>
      </c>
      <c r="J476">
        <v>2</v>
      </c>
      <c r="K476" t="s">
        <v>4</v>
      </c>
      <c r="L476" t="s">
        <v>18</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549</v>
      </c>
      <c r="B477" t="s">
        <v>24</v>
      </c>
      <c r="C477">
        <v>6</v>
      </c>
      <c r="D477">
        <v>114.8</v>
      </c>
      <c r="E477">
        <v>688.8</v>
      </c>
      <c r="F477" s="1">
        <v>45678</v>
      </c>
      <c r="G477" s="1">
        <v>45681</v>
      </c>
      <c r="H477" t="s">
        <v>8</v>
      </c>
      <c r="I477" t="s">
        <v>20</v>
      </c>
      <c r="J477">
        <v>3</v>
      </c>
      <c r="K477" t="s">
        <v>4</v>
      </c>
      <c r="L477" t="s">
        <v>18</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550</v>
      </c>
      <c r="B478" t="s">
        <v>39</v>
      </c>
      <c r="C478">
        <v>7</v>
      </c>
      <c r="D478">
        <v>48.4</v>
      </c>
      <c r="E478">
        <v>338.8</v>
      </c>
      <c r="F478" s="1">
        <v>45678</v>
      </c>
      <c r="G478" s="1">
        <v>45681</v>
      </c>
      <c r="H478" t="s">
        <v>12</v>
      </c>
      <c r="I478" t="s">
        <v>36</v>
      </c>
      <c r="J478">
        <v>3</v>
      </c>
      <c r="K478" t="s">
        <v>4</v>
      </c>
      <c r="L478" t="s">
        <v>18</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551</v>
      </c>
      <c r="B479" t="s">
        <v>31</v>
      </c>
      <c r="C479">
        <v>5</v>
      </c>
      <c r="D479">
        <v>73.2</v>
      </c>
      <c r="E479">
        <v>366</v>
      </c>
      <c r="F479" s="1">
        <v>45678</v>
      </c>
      <c r="G479" s="1">
        <v>45679</v>
      </c>
      <c r="H479" t="s">
        <v>12</v>
      </c>
      <c r="I479" t="s">
        <v>20</v>
      </c>
      <c r="J479">
        <v>2</v>
      </c>
      <c r="K479" t="s">
        <v>4</v>
      </c>
      <c r="L479" t="s">
        <v>18</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552</v>
      </c>
      <c r="B480" t="s">
        <v>108</v>
      </c>
      <c r="C480">
        <v>2</v>
      </c>
      <c r="D480">
        <v>48.6</v>
      </c>
      <c r="E480">
        <v>97.2</v>
      </c>
      <c r="F480" s="1">
        <v>45678</v>
      </c>
      <c r="G480" s="1">
        <v>45682</v>
      </c>
      <c r="H480" t="s">
        <v>12</v>
      </c>
      <c r="I480" t="s">
        <v>36</v>
      </c>
      <c r="J480">
        <v>4</v>
      </c>
      <c r="K480" t="s">
        <v>4</v>
      </c>
      <c r="L480" t="s">
        <v>18</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553</v>
      </c>
      <c r="B481" t="s">
        <v>1</v>
      </c>
      <c r="C481">
        <v>6</v>
      </c>
      <c r="D481">
        <v>48.7</v>
      </c>
      <c r="E481">
        <v>292.20000000000005</v>
      </c>
      <c r="F481" s="1">
        <v>45678</v>
      </c>
      <c r="G481" s="1">
        <v>45679</v>
      </c>
      <c r="H481" t="s">
        <v>8</v>
      </c>
      <c r="I481" t="s">
        <v>3</v>
      </c>
      <c r="J481">
        <v>4</v>
      </c>
      <c r="K481" t="s">
        <v>4</v>
      </c>
      <c r="L481" t="s">
        <v>18</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554</v>
      </c>
      <c r="B482" t="s">
        <v>17</v>
      </c>
      <c r="C482">
        <v>2</v>
      </c>
      <c r="D482">
        <v>32.200000000000003</v>
      </c>
      <c r="E482">
        <v>64.400000000000006</v>
      </c>
      <c r="F482" s="1">
        <v>45678</v>
      </c>
      <c r="G482" s="1">
        <v>45681</v>
      </c>
      <c r="H482" t="s">
        <v>8</v>
      </c>
      <c r="I482" t="s">
        <v>25</v>
      </c>
      <c r="J482">
        <v>5</v>
      </c>
      <c r="K482" t="s">
        <v>4</v>
      </c>
      <c r="L482" t="s">
        <v>18</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555</v>
      </c>
      <c r="B483" t="s">
        <v>108</v>
      </c>
      <c r="C483">
        <v>8</v>
      </c>
      <c r="D483">
        <v>25.8</v>
      </c>
      <c r="E483">
        <v>206.4</v>
      </c>
      <c r="F483" s="1">
        <v>45678</v>
      </c>
      <c r="G483" s="1">
        <v>45679</v>
      </c>
      <c r="H483" t="s">
        <v>8</v>
      </c>
      <c r="I483" t="s">
        <v>3</v>
      </c>
      <c r="J483">
        <v>4</v>
      </c>
      <c r="K483" t="s">
        <v>4</v>
      </c>
      <c r="L483" t="s">
        <v>349</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556</v>
      </c>
      <c r="B484" t="s">
        <v>24</v>
      </c>
      <c r="C484">
        <v>2</v>
      </c>
      <c r="D484">
        <v>94.8</v>
      </c>
      <c r="E484">
        <v>189.6</v>
      </c>
      <c r="F484" s="1">
        <v>45679</v>
      </c>
      <c r="G484" s="1">
        <v>45682</v>
      </c>
      <c r="H484" t="s">
        <v>12</v>
      </c>
      <c r="I484" t="s">
        <v>20</v>
      </c>
      <c r="J484">
        <v>3</v>
      </c>
      <c r="K484" t="s">
        <v>4</v>
      </c>
      <c r="L484" t="s">
        <v>173</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557</v>
      </c>
      <c r="B485" t="s">
        <v>108</v>
      </c>
      <c r="C485">
        <v>25</v>
      </c>
      <c r="D485">
        <v>56.8</v>
      </c>
      <c r="E485">
        <v>1420</v>
      </c>
      <c r="F485" s="1">
        <v>45679</v>
      </c>
      <c r="G485" s="1">
        <v>45682</v>
      </c>
      <c r="H485" t="s">
        <v>8</v>
      </c>
      <c r="I485" t="s">
        <v>3</v>
      </c>
      <c r="J485">
        <v>4</v>
      </c>
      <c r="K485" t="s">
        <v>4</v>
      </c>
      <c r="L485" t="s">
        <v>173</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558</v>
      </c>
      <c r="B486" t="s">
        <v>29</v>
      </c>
      <c r="C486">
        <v>16</v>
      </c>
      <c r="D486">
        <v>18.3</v>
      </c>
      <c r="E486">
        <v>292.8</v>
      </c>
      <c r="F486" s="1">
        <v>45679</v>
      </c>
      <c r="G486" s="1">
        <v>45686</v>
      </c>
      <c r="H486" t="s">
        <v>12</v>
      </c>
      <c r="I486" t="s">
        <v>25</v>
      </c>
      <c r="J486">
        <v>5</v>
      </c>
      <c r="K486" t="s">
        <v>4</v>
      </c>
      <c r="L486" t="s">
        <v>143</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559</v>
      </c>
      <c r="B487" t="s">
        <v>1</v>
      </c>
      <c r="C487">
        <v>3</v>
      </c>
      <c r="D487">
        <v>16.8</v>
      </c>
      <c r="E487">
        <v>50.400000000000006</v>
      </c>
      <c r="F487" s="1">
        <v>45679</v>
      </c>
      <c r="G487" s="1">
        <v>45684</v>
      </c>
      <c r="H487" t="s">
        <v>12</v>
      </c>
      <c r="I487" t="s">
        <v>25</v>
      </c>
      <c r="J487">
        <v>5</v>
      </c>
      <c r="K487" t="s">
        <v>4</v>
      </c>
      <c r="L487" t="s">
        <v>47</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560</v>
      </c>
      <c r="B488" t="s">
        <v>22</v>
      </c>
      <c r="C488">
        <v>11</v>
      </c>
      <c r="D488">
        <v>35.799999999999997</v>
      </c>
      <c r="E488">
        <v>393.79999999999995</v>
      </c>
      <c r="F488" s="1">
        <v>45679</v>
      </c>
      <c r="G488" s="1">
        <v>45680</v>
      </c>
      <c r="H488" t="s">
        <v>8</v>
      </c>
      <c r="I488" t="s">
        <v>20</v>
      </c>
      <c r="J488">
        <v>4</v>
      </c>
      <c r="K488" t="s">
        <v>4</v>
      </c>
      <c r="L488" t="s">
        <v>88</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561</v>
      </c>
      <c r="B489" t="s">
        <v>131</v>
      </c>
      <c r="C489">
        <v>1</v>
      </c>
      <c r="D489">
        <v>64.900000000000006</v>
      </c>
      <c r="E489">
        <v>64.900000000000006</v>
      </c>
      <c r="F489" s="1">
        <v>45679</v>
      </c>
      <c r="G489" s="1">
        <v>45680</v>
      </c>
      <c r="H489" t="s">
        <v>8</v>
      </c>
      <c r="I489" t="s">
        <v>3</v>
      </c>
      <c r="J489">
        <v>3</v>
      </c>
      <c r="K489" t="s">
        <v>4</v>
      </c>
      <c r="L489" t="s">
        <v>88</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562</v>
      </c>
      <c r="B490" t="s">
        <v>131</v>
      </c>
      <c r="C490">
        <v>1</v>
      </c>
      <c r="D490">
        <v>28.5</v>
      </c>
      <c r="E490">
        <v>28.5</v>
      </c>
      <c r="F490" s="1">
        <v>45679</v>
      </c>
      <c r="G490" s="1">
        <v>45681</v>
      </c>
      <c r="H490" t="s">
        <v>2</v>
      </c>
      <c r="I490" t="s">
        <v>20</v>
      </c>
      <c r="J490">
        <v>4</v>
      </c>
      <c r="K490" t="s">
        <v>4</v>
      </c>
      <c r="L490" t="s">
        <v>57</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563</v>
      </c>
      <c r="B491" t="s">
        <v>131</v>
      </c>
      <c r="C491">
        <v>2</v>
      </c>
      <c r="D491">
        <v>103.5</v>
      </c>
      <c r="E491">
        <v>207</v>
      </c>
      <c r="F491" s="1">
        <v>45679</v>
      </c>
      <c r="G491" s="1">
        <v>45681</v>
      </c>
      <c r="H491" t="s">
        <v>12</v>
      </c>
      <c r="I491" t="s">
        <v>20</v>
      </c>
      <c r="J491">
        <v>4</v>
      </c>
      <c r="K491" t="s">
        <v>4</v>
      </c>
      <c r="L491" t="s">
        <v>59</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564</v>
      </c>
      <c r="B492" t="s">
        <v>17</v>
      </c>
      <c r="C492">
        <v>2</v>
      </c>
      <c r="D492">
        <v>41.2</v>
      </c>
      <c r="E492">
        <v>82.4</v>
      </c>
      <c r="F492" s="1">
        <v>45679</v>
      </c>
      <c r="G492" s="1">
        <v>45680</v>
      </c>
      <c r="H492" t="s">
        <v>12</v>
      </c>
      <c r="I492" t="s">
        <v>20</v>
      </c>
      <c r="J492">
        <v>4</v>
      </c>
      <c r="K492" t="s">
        <v>4</v>
      </c>
      <c r="L492" t="s">
        <v>59</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565</v>
      </c>
      <c r="B493" t="s">
        <v>31</v>
      </c>
      <c r="C493">
        <v>1</v>
      </c>
      <c r="D493">
        <v>37.799999999999997</v>
      </c>
      <c r="E493">
        <v>37.799999999999997</v>
      </c>
      <c r="F493" s="1">
        <v>45679</v>
      </c>
      <c r="G493" s="1">
        <v>45681</v>
      </c>
      <c r="H493" t="s">
        <v>12</v>
      </c>
      <c r="I493" t="s">
        <v>36</v>
      </c>
      <c r="J493">
        <v>1</v>
      </c>
      <c r="K493" t="s">
        <v>4</v>
      </c>
      <c r="L493" t="s">
        <v>62</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566</v>
      </c>
      <c r="B494" t="s">
        <v>29</v>
      </c>
      <c r="C494">
        <v>2</v>
      </c>
      <c r="D494">
        <v>42.6</v>
      </c>
      <c r="E494">
        <v>85.2</v>
      </c>
      <c r="F494" s="1">
        <v>45679</v>
      </c>
      <c r="G494" s="1">
        <v>45681</v>
      </c>
      <c r="H494" t="s">
        <v>12</v>
      </c>
      <c r="I494" t="s">
        <v>55</v>
      </c>
      <c r="J494">
        <v>4</v>
      </c>
      <c r="K494" t="s">
        <v>4</v>
      </c>
      <c r="L494" t="s">
        <v>62</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567</v>
      </c>
      <c r="B495" t="s">
        <v>29</v>
      </c>
      <c r="C495">
        <v>10</v>
      </c>
      <c r="D495">
        <v>15.2</v>
      </c>
      <c r="E495">
        <v>152</v>
      </c>
      <c r="F495" s="1">
        <v>45679</v>
      </c>
      <c r="G495" s="1">
        <v>45681</v>
      </c>
      <c r="H495" t="s">
        <v>12</v>
      </c>
      <c r="I495" t="s">
        <v>25</v>
      </c>
      <c r="J495">
        <v>4</v>
      </c>
      <c r="K495" t="s">
        <v>4</v>
      </c>
      <c r="L495" t="s">
        <v>62</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568</v>
      </c>
      <c r="B496" t="s">
        <v>27</v>
      </c>
      <c r="C496">
        <v>4</v>
      </c>
      <c r="D496">
        <v>83.4</v>
      </c>
      <c r="E496">
        <v>333.6</v>
      </c>
      <c r="F496" s="1">
        <v>45679</v>
      </c>
      <c r="G496" s="1">
        <v>45680</v>
      </c>
      <c r="H496" t="s">
        <v>12</v>
      </c>
      <c r="I496" t="s">
        <v>25</v>
      </c>
      <c r="J496">
        <v>3</v>
      </c>
      <c r="K496" t="s">
        <v>4</v>
      </c>
      <c r="L496" t="s">
        <v>93</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569</v>
      </c>
      <c r="B497" t="s">
        <v>156</v>
      </c>
      <c r="C497">
        <v>2</v>
      </c>
      <c r="D497">
        <v>27.7</v>
      </c>
      <c r="E497">
        <v>55.4</v>
      </c>
      <c r="F497" s="1">
        <v>45679</v>
      </c>
      <c r="G497" s="1">
        <v>45680</v>
      </c>
      <c r="H497" t="s">
        <v>12</v>
      </c>
      <c r="I497" t="s">
        <v>3</v>
      </c>
      <c r="J497">
        <v>3</v>
      </c>
      <c r="K497" t="s">
        <v>4</v>
      </c>
      <c r="L497" t="s">
        <v>67</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570</v>
      </c>
      <c r="B498" t="s">
        <v>39</v>
      </c>
      <c r="C498">
        <v>12</v>
      </c>
      <c r="D498">
        <v>20.8</v>
      </c>
      <c r="E498">
        <v>249.60000000000002</v>
      </c>
      <c r="F498" s="1">
        <v>45679</v>
      </c>
      <c r="G498" s="1">
        <v>45680</v>
      </c>
      <c r="H498" t="s">
        <v>8</v>
      </c>
      <c r="I498" t="s">
        <v>36</v>
      </c>
      <c r="J498">
        <v>4</v>
      </c>
      <c r="K498" t="s">
        <v>4</v>
      </c>
      <c r="L498" t="s">
        <v>67</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571</v>
      </c>
      <c r="B499" t="s">
        <v>52</v>
      </c>
      <c r="C499">
        <v>2</v>
      </c>
      <c r="D499">
        <v>72.7</v>
      </c>
      <c r="E499">
        <v>145.4</v>
      </c>
      <c r="F499" s="1">
        <v>45679</v>
      </c>
      <c r="G499" s="1">
        <v>45683</v>
      </c>
      <c r="H499" t="s">
        <v>12</v>
      </c>
      <c r="I499" t="s">
        <v>55</v>
      </c>
      <c r="J499">
        <v>5</v>
      </c>
      <c r="K499" t="s">
        <v>4</v>
      </c>
      <c r="L499" t="s">
        <v>572</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573</v>
      </c>
      <c r="B500" t="s">
        <v>39</v>
      </c>
      <c r="C500">
        <v>4</v>
      </c>
      <c r="D500">
        <v>38.6</v>
      </c>
      <c r="E500">
        <v>154.4</v>
      </c>
      <c r="F500" s="1">
        <v>45679</v>
      </c>
      <c r="G500" s="1">
        <v>45680</v>
      </c>
      <c r="H500" t="s">
        <v>8</v>
      </c>
      <c r="I500" t="s">
        <v>3</v>
      </c>
      <c r="J500">
        <v>5</v>
      </c>
      <c r="K500" t="s">
        <v>4</v>
      </c>
      <c r="L500" t="s">
        <v>132</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574</v>
      </c>
      <c r="B501" t="s">
        <v>29</v>
      </c>
      <c r="C501">
        <v>7</v>
      </c>
      <c r="D501">
        <v>33.1</v>
      </c>
      <c r="E501">
        <v>231.70000000000002</v>
      </c>
      <c r="F501" s="1">
        <v>45679</v>
      </c>
      <c r="G501" s="1">
        <v>45680</v>
      </c>
      <c r="H501" t="s">
        <v>74</v>
      </c>
      <c r="I501" t="s">
        <v>55</v>
      </c>
      <c r="J501">
        <v>1</v>
      </c>
      <c r="K501" t="s">
        <v>4</v>
      </c>
      <c r="L501" t="s">
        <v>18</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575</v>
      </c>
      <c r="B502" t="s">
        <v>39</v>
      </c>
      <c r="C502">
        <v>2</v>
      </c>
      <c r="D502">
        <v>30.5</v>
      </c>
      <c r="E502">
        <v>61</v>
      </c>
      <c r="F502" s="1">
        <v>45679</v>
      </c>
      <c r="G502" s="1">
        <v>45679</v>
      </c>
      <c r="H502" t="s">
        <v>2</v>
      </c>
      <c r="I502" t="s">
        <v>20</v>
      </c>
      <c r="J502">
        <v>3</v>
      </c>
      <c r="K502" t="s">
        <v>4</v>
      </c>
      <c r="L502" t="s">
        <v>18</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576</v>
      </c>
      <c r="B503" t="s">
        <v>31</v>
      </c>
      <c r="C503">
        <v>2</v>
      </c>
      <c r="D503">
        <v>69.599999999999994</v>
      </c>
      <c r="E503">
        <v>139.19999999999999</v>
      </c>
      <c r="F503" s="1">
        <v>45679</v>
      </c>
      <c r="G503" s="1">
        <v>45680</v>
      </c>
      <c r="H503" t="s">
        <v>8</v>
      </c>
      <c r="I503" t="s">
        <v>3</v>
      </c>
      <c r="J503">
        <v>3</v>
      </c>
      <c r="K503" t="s">
        <v>4</v>
      </c>
      <c r="L503" t="s">
        <v>18</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577</v>
      </c>
      <c r="B504" t="s">
        <v>52</v>
      </c>
      <c r="C504">
        <v>1</v>
      </c>
      <c r="D504">
        <v>42.4</v>
      </c>
      <c r="E504">
        <v>42.4</v>
      </c>
      <c r="F504" s="1">
        <v>45679</v>
      </c>
      <c r="G504" s="1">
        <v>45683</v>
      </c>
      <c r="H504" t="s">
        <v>12</v>
      </c>
      <c r="I504" t="s">
        <v>20</v>
      </c>
      <c r="J504">
        <v>4</v>
      </c>
      <c r="K504" t="s">
        <v>4</v>
      </c>
      <c r="L504" t="s">
        <v>18</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578</v>
      </c>
      <c r="B505" t="s">
        <v>120</v>
      </c>
      <c r="C505">
        <v>1</v>
      </c>
      <c r="D505">
        <v>32.200000000000003</v>
      </c>
      <c r="E505">
        <v>32.200000000000003</v>
      </c>
      <c r="F505" s="1">
        <v>45679</v>
      </c>
      <c r="G505" s="1">
        <v>45682</v>
      </c>
      <c r="H505" t="s">
        <v>12</v>
      </c>
      <c r="I505" t="s">
        <v>25</v>
      </c>
      <c r="J505">
        <v>3</v>
      </c>
      <c r="K505" t="s">
        <v>4</v>
      </c>
      <c r="L505" t="s">
        <v>18</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579</v>
      </c>
      <c r="B506" t="s">
        <v>24</v>
      </c>
      <c r="C506">
        <v>2</v>
      </c>
      <c r="D506">
        <v>41.5</v>
      </c>
      <c r="E506">
        <v>83</v>
      </c>
      <c r="F506" s="1">
        <v>45679</v>
      </c>
      <c r="G506" s="1">
        <v>45682</v>
      </c>
      <c r="H506" t="s">
        <v>12</v>
      </c>
      <c r="I506" t="s">
        <v>3</v>
      </c>
      <c r="J506">
        <v>5</v>
      </c>
      <c r="K506" t="s">
        <v>4</v>
      </c>
      <c r="L506" t="s">
        <v>18</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580</v>
      </c>
      <c r="B507" t="s">
        <v>113</v>
      </c>
      <c r="C507">
        <v>9</v>
      </c>
      <c r="D507">
        <v>58.9</v>
      </c>
      <c r="E507">
        <v>530.1</v>
      </c>
      <c r="F507" s="1">
        <v>45679</v>
      </c>
      <c r="G507" s="1">
        <v>45683</v>
      </c>
      <c r="H507" t="s">
        <v>12</v>
      </c>
      <c r="I507" t="s">
        <v>36</v>
      </c>
      <c r="J507">
        <v>4</v>
      </c>
      <c r="K507" t="s">
        <v>4</v>
      </c>
      <c r="L507" t="s">
        <v>18</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581</v>
      </c>
      <c r="B508" t="s">
        <v>11</v>
      </c>
      <c r="C508">
        <v>1</v>
      </c>
      <c r="D508">
        <v>57.1</v>
      </c>
      <c r="E508">
        <v>57.1</v>
      </c>
      <c r="F508" s="1">
        <v>45679</v>
      </c>
      <c r="G508" s="1">
        <v>45682</v>
      </c>
      <c r="H508" t="s">
        <v>12</v>
      </c>
      <c r="I508" t="s">
        <v>20</v>
      </c>
      <c r="J508">
        <v>4</v>
      </c>
      <c r="K508" t="s">
        <v>4</v>
      </c>
      <c r="L508" t="s">
        <v>18</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582</v>
      </c>
      <c r="B509" t="s">
        <v>24</v>
      </c>
      <c r="C509">
        <v>1</v>
      </c>
      <c r="D509">
        <v>57.2</v>
      </c>
      <c r="E509">
        <v>57.2</v>
      </c>
      <c r="F509" s="1">
        <v>45679</v>
      </c>
      <c r="G509" s="1">
        <v>45681</v>
      </c>
      <c r="H509" t="s">
        <v>8</v>
      </c>
      <c r="I509" t="s">
        <v>20</v>
      </c>
      <c r="J509">
        <v>4</v>
      </c>
      <c r="K509" t="s">
        <v>4</v>
      </c>
      <c r="L509" t="s">
        <v>18</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583</v>
      </c>
      <c r="B510" t="s">
        <v>29</v>
      </c>
      <c r="C510">
        <v>2</v>
      </c>
      <c r="D510">
        <v>35.1</v>
      </c>
      <c r="E510">
        <v>70.2</v>
      </c>
      <c r="F510" s="1">
        <v>45679</v>
      </c>
      <c r="G510" s="1">
        <v>45680</v>
      </c>
      <c r="H510" t="s">
        <v>8</v>
      </c>
      <c r="I510" t="s">
        <v>20</v>
      </c>
      <c r="J510">
        <v>4</v>
      </c>
      <c r="K510" t="s">
        <v>4</v>
      </c>
      <c r="L510" t="s">
        <v>40</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584</v>
      </c>
      <c r="B511" t="s">
        <v>7</v>
      </c>
      <c r="C511">
        <v>1</v>
      </c>
      <c r="D511">
        <v>52.1</v>
      </c>
      <c r="E511">
        <v>52.1</v>
      </c>
      <c r="F511" s="1">
        <v>45679</v>
      </c>
      <c r="G511" s="1">
        <v>45681</v>
      </c>
      <c r="H511" t="s">
        <v>12</v>
      </c>
      <c r="I511" t="s">
        <v>55</v>
      </c>
      <c r="J511">
        <v>3</v>
      </c>
      <c r="K511" t="s">
        <v>4</v>
      </c>
      <c r="L511" t="s">
        <v>47</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585</v>
      </c>
      <c r="B512" t="s">
        <v>61</v>
      </c>
      <c r="C512">
        <v>3</v>
      </c>
      <c r="D512">
        <v>59.8</v>
      </c>
      <c r="E512">
        <v>179.39999999999998</v>
      </c>
      <c r="F512" s="1">
        <v>45679</v>
      </c>
      <c r="G512" s="1">
        <v>45681</v>
      </c>
      <c r="H512" t="s">
        <v>12</v>
      </c>
      <c r="I512" t="s">
        <v>55</v>
      </c>
      <c r="J512">
        <v>3</v>
      </c>
      <c r="K512" t="s">
        <v>4</v>
      </c>
      <c r="L512" t="s">
        <v>47</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586</v>
      </c>
      <c r="B513" t="s">
        <v>15</v>
      </c>
      <c r="C513">
        <v>4</v>
      </c>
      <c r="D513">
        <v>83.3</v>
      </c>
      <c r="E513">
        <v>333.2</v>
      </c>
      <c r="F513" s="1">
        <v>45679</v>
      </c>
      <c r="G513" s="1">
        <v>45679</v>
      </c>
      <c r="H513" t="s">
        <v>2</v>
      </c>
      <c r="I513" t="s">
        <v>25</v>
      </c>
      <c r="J513">
        <v>4</v>
      </c>
      <c r="K513" t="s">
        <v>4</v>
      </c>
      <c r="L513" t="s">
        <v>47</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587</v>
      </c>
      <c r="B514" t="s">
        <v>108</v>
      </c>
      <c r="C514">
        <v>12</v>
      </c>
      <c r="D514">
        <v>41.3</v>
      </c>
      <c r="E514">
        <v>495.59999999999997</v>
      </c>
      <c r="F514" s="1">
        <v>45679</v>
      </c>
      <c r="G514" s="1">
        <v>45680</v>
      </c>
      <c r="H514" t="s">
        <v>12</v>
      </c>
      <c r="I514" t="s">
        <v>20</v>
      </c>
      <c r="J514">
        <v>4</v>
      </c>
      <c r="K514" t="s">
        <v>4</v>
      </c>
      <c r="L514" t="s">
        <v>47</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588</v>
      </c>
      <c r="B515" t="s">
        <v>29</v>
      </c>
      <c r="C515">
        <v>5</v>
      </c>
      <c r="D515">
        <v>16</v>
      </c>
      <c r="E515">
        <v>80</v>
      </c>
      <c r="F515" s="1">
        <v>45679</v>
      </c>
      <c r="G515" s="1">
        <v>45681</v>
      </c>
      <c r="H515" t="s">
        <v>8</v>
      </c>
      <c r="I515" t="s">
        <v>55</v>
      </c>
      <c r="J515">
        <v>3</v>
      </c>
      <c r="K515" t="s">
        <v>4</v>
      </c>
      <c r="L515" t="s">
        <v>57</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589</v>
      </c>
      <c r="B516" t="s">
        <v>39</v>
      </c>
      <c r="C516">
        <v>2</v>
      </c>
      <c r="D516">
        <v>20.8</v>
      </c>
      <c r="E516">
        <v>41.6</v>
      </c>
      <c r="F516" s="1">
        <v>45680</v>
      </c>
      <c r="G516" s="1">
        <v>45682</v>
      </c>
      <c r="H516" t="s">
        <v>8</v>
      </c>
      <c r="I516" t="s">
        <v>3</v>
      </c>
      <c r="J516">
        <v>5</v>
      </c>
      <c r="K516" t="s">
        <v>4</v>
      </c>
      <c r="L516" t="s">
        <v>62</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590</v>
      </c>
      <c r="B517" t="s">
        <v>29</v>
      </c>
      <c r="C517">
        <v>28</v>
      </c>
      <c r="D517">
        <v>27.1</v>
      </c>
      <c r="E517">
        <v>758.80000000000007</v>
      </c>
      <c r="F517" s="1">
        <v>45680</v>
      </c>
      <c r="G517" s="1">
        <v>45681</v>
      </c>
      <c r="H517" t="s">
        <v>2</v>
      </c>
      <c r="I517" t="s">
        <v>36</v>
      </c>
      <c r="J517">
        <v>5</v>
      </c>
      <c r="K517" t="s">
        <v>4</v>
      </c>
      <c r="L517" t="s">
        <v>62</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591</v>
      </c>
      <c r="B518" t="s">
        <v>39</v>
      </c>
      <c r="C518">
        <v>2</v>
      </c>
      <c r="D518">
        <v>38.9</v>
      </c>
      <c r="E518">
        <v>77.8</v>
      </c>
      <c r="F518" s="1">
        <v>45680</v>
      </c>
      <c r="G518" s="1">
        <v>45682</v>
      </c>
      <c r="H518" t="s">
        <v>12</v>
      </c>
      <c r="I518" t="s">
        <v>3</v>
      </c>
      <c r="J518">
        <v>4</v>
      </c>
      <c r="K518" t="s">
        <v>4</v>
      </c>
      <c r="L518" t="s">
        <v>93</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592</v>
      </c>
      <c r="B519" t="s">
        <v>1</v>
      </c>
      <c r="C519">
        <v>2</v>
      </c>
      <c r="D519">
        <v>10.8</v>
      </c>
      <c r="E519">
        <v>21.6</v>
      </c>
      <c r="F519" s="1">
        <v>45680</v>
      </c>
      <c r="G519" s="1">
        <v>45683</v>
      </c>
      <c r="H519" t="s">
        <v>12</v>
      </c>
      <c r="I519" t="s">
        <v>20</v>
      </c>
      <c r="J519">
        <v>5</v>
      </c>
      <c r="K519" t="s">
        <v>4</v>
      </c>
      <c r="L519" t="s">
        <v>593</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594</v>
      </c>
      <c r="B520" t="s">
        <v>17</v>
      </c>
      <c r="C520">
        <v>13</v>
      </c>
      <c r="D520">
        <v>48.4</v>
      </c>
      <c r="E520">
        <v>629.19999999999993</v>
      </c>
      <c r="F520" s="1">
        <v>45680</v>
      </c>
      <c r="G520" s="1">
        <v>45684</v>
      </c>
      <c r="H520" t="s">
        <v>12</v>
      </c>
      <c r="I520" t="s">
        <v>3</v>
      </c>
      <c r="J520">
        <v>4</v>
      </c>
      <c r="K520" t="s">
        <v>4</v>
      </c>
      <c r="L520" t="s">
        <v>100</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595</v>
      </c>
      <c r="B521" t="s">
        <v>17</v>
      </c>
      <c r="C521">
        <v>3</v>
      </c>
      <c r="D521">
        <v>29.2</v>
      </c>
      <c r="E521">
        <v>87.6</v>
      </c>
      <c r="F521" s="1">
        <v>45680</v>
      </c>
      <c r="G521" s="1">
        <v>45683</v>
      </c>
      <c r="H521" t="s">
        <v>12</v>
      </c>
      <c r="I521" t="s">
        <v>20</v>
      </c>
      <c r="J521">
        <v>3</v>
      </c>
      <c r="K521" t="s">
        <v>4</v>
      </c>
      <c r="L521" t="s">
        <v>13</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596</v>
      </c>
      <c r="B522" t="s">
        <v>17</v>
      </c>
      <c r="C522">
        <v>2</v>
      </c>
      <c r="D522">
        <v>25.1</v>
      </c>
      <c r="E522">
        <v>50.2</v>
      </c>
      <c r="F522" s="1">
        <v>45680</v>
      </c>
      <c r="G522" s="1">
        <v>45681</v>
      </c>
      <c r="H522" t="s">
        <v>8</v>
      </c>
      <c r="I522" t="s">
        <v>3</v>
      </c>
      <c r="J522">
        <v>3</v>
      </c>
      <c r="K522" t="s">
        <v>4</v>
      </c>
      <c r="L522" t="s">
        <v>13</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597</v>
      </c>
      <c r="B523" t="s">
        <v>27</v>
      </c>
      <c r="C523">
        <v>3</v>
      </c>
      <c r="D523">
        <v>65.599999999999994</v>
      </c>
      <c r="E523">
        <v>196.79999999999998</v>
      </c>
      <c r="F523" s="1">
        <v>45680</v>
      </c>
      <c r="G523" s="1">
        <v>45680</v>
      </c>
      <c r="H523" t="s">
        <v>12</v>
      </c>
      <c r="I523" t="s">
        <v>25</v>
      </c>
      <c r="J523">
        <v>3</v>
      </c>
      <c r="K523" t="s">
        <v>4</v>
      </c>
      <c r="L523" t="s">
        <v>18</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598</v>
      </c>
      <c r="B524" t="s">
        <v>11</v>
      </c>
      <c r="C524">
        <v>2</v>
      </c>
      <c r="D524">
        <v>57.3</v>
      </c>
      <c r="E524">
        <v>114.6</v>
      </c>
      <c r="F524" s="1">
        <v>45680</v>
      </c>
      <c r="G524" s="1">
        <v>45680</v>
      </c>
      <c r="H524" t="s">
        <v>2</v>
      </c>
      <c r="I524" t="s">
        <v>3</v>
      </c>
      <c r="J524">
        <v>4</v>
      </c>
      <c r="K524" t="s">
        <v>4</v>
      </c>
      <c r="L524" t="s">
        <v>18</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599</v>
      </c>
      <c r="B525" t="s">
        <v>31</v>
      </c>
      <c r="C525">
        <v>4</v>
      </c>
      <c r="D525">
        <v>22.4</v>
      </c>
      <c r="E525">
        <v>89.6</v>
      </c>
      <c r="F525" s="1">
        <v>45680</v>
      </c>
      <c r="G525" s="1">
        <v>45681</v>
      </c>
      <c r="H525" t="s">
        <v>12</v>
      </c>
      <c r="I525" t="s">
        <v>25</v>
      </c>
      <c r="J525">
        <v>5</v>
      </c>
      <c r="K525" t="s">
        <v>4</v>
      </c>
      <c r="L525" t="s">
        <v>18</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600</v>
      </c>
      <c r="B526" t="s">
        <v>54</v>
      </c>
      <c r="C526">
        <v>9</v>
      </c>
      <c r="D526">
        <v>45.7</v>
      </c>
      <c r="E526">
        <v>411.3</v>
      </c>
      <c r="F526" s="1">
        <v>45680</v>
      </c>
      <c r="G526" s="1">
        <v>45681</v>
      </c>
      <c r="H526" t="s">
        <v>12</v>
      </c>
      <c r="I526" t="s">
        <v>3</v>
      </c>
      <c r="J526">
        <v>4</v>
      </c>
      <c r="K526" t="s">
        <v>4</v>
      </c>
      <c r="L526" t="s">
        <v>18</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601</v>
      </c>
      <c r="B527" t="s">
        <v>29</v>
      </c>
      <c r="C527">
        <v>2</v>
      </c>
      <c r="D527">
        <v>29.3</v>
      </c>
      <c r="E527">
        <v>58.6</v>
      </c>
      <c r="F527" s="1">
        <v>45680</v>
      </c>
      <c r="G527" s="1">
        <v>45681</v>
      </c>
      <c r="H527" t="s">
        <v>8</v>
      </c>
      <c r="I527" t="s">
        <v>20</v>
      </c>
      <c r="J527">
        <v>4</v>
      </c>
      <c r="K527" t="s">
        <v>4</v>
      </c>
      <c r="L527" t="s">
        <v>18</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602</v>
      </c>
      <c r="B528" t="s">
        <v>131</v>
      </c>
      <c r="C528">
        <v>22</v>
      </c>
      <c r="D528">
        <v>74</v>
      </c>
      <c r="E528">
        <v>1628</v>
      </c>
      <c r="F528" s="1">
        <v>45680</v>
      </c>
      <c r="G528" s="1">
        <v>45681</v>
      </c>
      <c r="H528" t="s">
        <v>8</v>
      </c>
      <c r="I528" t="s">
        <v>3</v>
      </c>
      <c r="J528">
        <v>5</v>
      </c>
      <c r="K528" t="s">
        <v>4</v>
      </c>
      <c r="L528" t="s">
        <v>18</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603</v>
      </c>
      <c r="B529" t="s">
        <v>66</v>
      </c>
      <c r="C529">
        <v>2</v>
      </c>
      <c r="D529">
        <v>39.200000000000003</v>
      </c>
      <c r="E529">
        <v>78.400000000000006</v>
      </c>
      <c r="F529" s="1">
        <v>45680</v>
      </c>
      <c r="G529" s="1">
        <v>45682</v>
      </c>
      <c r="H529" t="s">
        <v>12</v>
      </c>
      <c r="I529" t="s">
        <v>20</v>
      </c>
      <c r="J529">
        <v>4</v>
      </c>
      <c r="K529" t="s">
        <v>4</v>
      </c>
      <c r="L529" t="s">
        <v>18</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604</v>
      </c>
      <c r="B530" t="s">
        <v>17</v>
      </c>
      <c r="C530">
        <v>17</v>
      </c>
      <c r="D530">
        <v>62.7</v>
      </c>
      <c r="E530">
        <v>1065.9000000000001</v>
      </c>
      <c r="F530" s="1">
        <v>45680</v>
      </c>
      <c r="G530" s="1">
        <v>45681</v>
      </c>
      <c r="H530" t="s">
        <v>12</v>
      </c>
      <c r="I530" t="s">
        <v>25</v>
      </c>
      <c r="J530">
        <v>3</v>
      </c>
      <c r="K530" t="s">
        <v>4</v>
      </c>
      <c r="L530" t="s">
        <v>18</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605</v>
      </c>
      <c r="B531" t="s">
        <v>39</v>
      </c>
      <c r="C531">
        <v>2</v>
      </c>
      <c r="D531">
        <v>60.1</v>
      </c>
      <c r="E531">
        <v>120.2</v>
      </c>
      <c r="F531" s="1">
        <v>45680</v>
      </c>
      <c r="G531" s="1">
        <v>45681</v>
      </c>
      <c r="H531" t="s">
        <v>12</v>
      </c>
      <c r="I531" t="s">
        <v>36</v>
      </c>
      <c r="J531">
        <v>4</v>
      </c>
      <c r="K531" t="s">
        <v>4</v>
      </c>
      <c r="L531" t="s">
        <v>18</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606</v>
      </c>
      <c r="B532" t="s">
        <v>1</v>
      </c>
      <c r="C532">
        <v>4</v>
      </c>
      <c r="D532">
        <v>11.2</v>
      </c>
      <c r="E532">
        <v>44.8</v>
      </c>
      <c r="F532" s="1">
        <v>45680</v>
      </c>
      <c r="G532" s="1">
        <v>45681</v>
      </c>
      <c r="H532" t="s">
        <v>12</v>
      </c>
      <c r="I532" t="s">
        <v>36</v>
      </c>
      <c r="J532">
        <v>3</v>
      </c>
      <c r="K532" t="s">
        <v>4</v>
      </c>
      <c r="L532" t="s">
        <v>18</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607</v>
      </c>
      <c r="B533" t="s">
        <v>29</v>
      </c>
      <c r="C533">
        <v>2</v>
      </c>
      <c r="D533">
        <v>22.9</v>
      </c>
      <c r="E533">
        <v>45.8</v>
      </c>
      <c r="F533" s="1">
        <v>45680</v>
      </c>
      <c r="G533" s="1">
        <v>45681</v>
      </c>
      <c r="H533" t="s">
        <v>12</v>
      </c>
      <c r="I533" t="s">
        <v>3</v>
      </c>
      <c r="J533">
        <v>4</v>
      </c>
      <c r="K533" t="s">
        <v>4</v>
      </c>
      <c r="L533" t="s">
        <v>40</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608</v>
      </c>
      <c r="B534" t="s">
        <v>7</v>
      </c>
      <c r="C534">
        <v>2</v>
      </c>
      <c r="D534">
        <v>37.6</v>
      </c>
      <c r="E534">
        <v>75.2</v>
      </c>
      <c r="F534" s="1">
        <v>45680</v>
      </c>
      <c r="G534" s="1">
        <v>45683</v>
      </c>
      <c r="H534" t="s">
        <v>12</v>
      </c>
      <c r="I534" t="s">
        <v>3</v>
      </c>
      <c r="J534">
        <v>4</v>
      </c>
      <c r="K534" t="s">
        <v>4</v>
      </c>
      <c r="L534" t="s">
        <v>40</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609</v>
      </c>
      <c r="B535" t="s">
        <v>24</v>
      </c>
      <c r="C535">
        <v>1</v>
      </c>
      <c r="D535">
        <v>42.4</v>
      </c>
      <c r="E535">
        <v>42.4</v>
      </c>
      <c r="F535" s="1">
        <v>45680</v>
      </c>
      <c r="G535" s="1">
        <v>45681</v>
      </c>
      <c r="H535" t="s">
        <v>12</v>
      </c>
      <c r="I535" t="s">
        <v>36</v>
      </c>
      <c r="J535">
        <v>5</v>
      </c>
      <c r="K535" t="s">
        <v>4</v>
      </c>
      <c r="L535" t="s">
        <v>40</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610</v>
      </c>
      <c r="B536" t="s">
        <v>29</v>
      </c>
      <c r="C536">
        <v>2</v>
      </c>
      <c r="D536">
        <v>19.600000000000001</v>
      </c>
      <c r="E536">
        <v>39.200000000000003</v>
      </c>
      <c r="F536" s="1">
        <v>45680</v>
      </c>
      <c r="G536" s="1">
        <v>45684</v>
      </c>
      <c r="H536" t="s">
        <v>12</v>
      </c>
      <c r="I536" t="s">
        <v>25</v>
      </c>
      <c r="J536">
        <v>4</v>
      </c>
      <c r="K536" t="s">
        <v>4</v>
      </c>
      <c r="L536" t="s">
        <v>44</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611</v>
      </c>
      <c r="B537" t="s">
        <v>31</v>
      </c>
      <c r="C537">
        <v>1</v>
      </c>
      <c r="D537">
        <v>90.5</v>
      </c>
      <c r="E537">
        <v>90.5</v>
      </c>
      <c r="F537" s="1">
        <v>45680</v>
      </c>
      <c r="G537" s="1">
        <v>45683</v>
      </c>
      <c r="H537" t="s">
        <v>12</v>
      </c>
      <c r="I537" t="s">
        <v>25</v>
      </c>
      <c r="J537">
        <v>4</v>
      </c>
      <c r="K537" t="s">
        <v>4</v>
      </c>
      <c r="L537" t="s">
        <v>44</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612</v>
      </c>
      <c r="B538" t="s">
        <v>113</v>
      </c>
      <c r="C538">
        <v>11</v>
      </c>
      <c r="D538">
        <v>33.9</v>
      </c>
      <c r="E538">
        <v>372.9</v>
      </c>
      <c r="F538" s="1">
        <v>45680</v>
      </c>
      <c r="G538" s="1">
        <v>45681</v>
      </c>
      <c r="H538" t="s">
        <v>8</v>
      </c>
      <c r="I538" t="s">
        <v>25</v>
      </c>
      <c r="J538">
        <v>3</v>
      </c>
      <c r="K538" t="s">
        <v>4</v>
      </c>
      <c r="L538" t="s">
        <v>44</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613</v>
      </c>
      <c r="B539" t="s">
        <v>1</v>
      </c>
      <c r="C539">
        <v>2</v>
      </c>
      <c r="D539">
        <v>32.799999999999997</v>
      </c>
      <c r="E539">
        <v>65.599999999999994</v>
      </c>
      <c r="F539" s="1">
        <v>45680</v>
      </c>
      <c r="G539" s="1">
        <v>45682</v>
      </c>
      <c r="H539" t="s">
        <v>12</v>
      </c>
      <c r="I539" t="s">
        <v>55</v>
      </c>
      <c r="J539">
        <v>2</v>
      </c>
      <c r="K539" t="s">
        <v>4</v>
      </c>
      <c r="L539" t="s">
        <v>47</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614</v>
      </c>
      <c r="B540" t="s">
        <v>108</v>
      </c>
      <c r="C540">
        <v>1</v>
      </c>
      <c r="D540">
        <v>49.9</v>
      </c>
      <c r="E540">
        <v>49.9</v>
      </c>
      <c r="F540" s="1">
        <v>45680</v>
      </c>
      <c r="G540" s="1">
        <v>45681</v>
      </c>
      <c r="H540" t="s">
        <v>8</v>
      </c>
      <c r="I540" t="s">
        <v>36</v>
      </c>
      <c r="J540">
        <v>3</v>
      </c>
      <c r="K540" t="s">
        <v>4</v>
      </c>
      <c r="L540" t="s">
        <v>47</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615</v>
      </c>
      <c r="B541" t="s">
        <v>27</v>
      </c>
      <c r="C541">
        <v>5</v>
      </c>
      <c r="D541">
        <v>79.2</v>
      </c>
      <c r="E541">
        <v>396</v>
      </c>
      <c r="F541" s="1">
        <v>45680</v>
      </c>
      <c r="G541" s="1">
        <v>45681</v>
      </c>
      <c r="H541" t="s">
        <v>12</v>
      </c>
      <c r="I541" t="s">
        <v>55</v>
      </c>
      <c r="J541">
        <v>4</v>
      </c>
      <c r="K541" t="s">
        <v>4</v>
      </c>
      <c r="L541" t="s">
        <v>47</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616</v>
      </c>
      <c r="B542" t="s">
        <v>29</v>
      </c>
      <c r="C542">
        <v>16</v>
      </c>
      <c r="D542">
        <v>19.5</v>
      </c>
      <c r="E542">
        <v>312</v>
      </c>
      <c r="F542" s="1">
        <v>45680</v>
      </c>
      <c r="G542" s="1">
        <v>45682</v>
      </c>
      <c r="H542" t="s">
        <v>8</v>
      </c>
      <c r="I542" t="s">
        <v>36</v>
      </c>
      <c r="J542">
        <v>5</v>
      </c>
      <c r="K542" t="s">
        <v>4</v>
      </c>
      <c r="L542" t="s">
        <v>47</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617</v>
      </c>
      <c r="B543" t="s">
        <v>29</v>
      </c>
      <c r="C543">
        <v>4</v>
      </c>
      <c r="D543">
        <v>18</v>
      </c>
      <c r="E543">
        <v>72</v>
      </c>
      <c r="F543" s="1">
        <v>45680</v>
      </c>
      <c r="G543" s="1">
        <v>45681</v>
      </c>
      <c r="H543" t="s">
        <v>8</v>
      </c>
      <c r="I543" t="s">
        <v>20</v>
      </c>
      <c r="J543">
        <v>4</v>
      </c>
      <c r="K543" t="s">
        <v>4</v>
      </c>
      <c r="L543" t="s">
        <v>59</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618</v>
      </c>
      <c r="B544" t="s">
        <v>31</v>
      </c>
      <c r="C544">
        <v>3</v>
      </c>
      <c r="D544">
        <v>45.9</v>
      </c>
      <c r="E544">
        <v>137.69999999999999</v>
      </c>
      <c r="F544" s="1">
        <v>45680</v>
      </c>
      <c r="G544" s="1">
        <v>45682</v>
      </c>
      <c r="H544" t="s">
        <v>12</v>
      </c>
      <c r="I544" t="s">
        <v>20</v>
      </c>
      <c r="J544">
        <v>3</v>
      </c>
      <c r="K544" t="s">
        <v>4</v>
      </c>
      <c r="L544" t="s">
        <v>59</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619</v>
      </c>
      <c r="B545" t="s">
        <v>52</v>
      </c>
      <c r="C545">
        <v>1</v>
      </c>
      <c r="D545">
        <v>41.2</v>
      </c>
      <c r="E545">
        <v>41.2</v>
      </c>
      <c r="F545" s="1">
        <v>45680</v>
      </c>
      <c r="G545" s="1">
        <v>45682</v>
      </c>
      <c r="H545" t="s">
        <v>12</v>
      </c>
      <c r="I545" t="s">
        <v>20</v>
      </c>
      <c r="J545">
        <v>5</v>
      </c>
      <c r="K545" t="s">
        <v>4</v>
      </c>
      <c r="L545" t="s">
        <v>62</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620</v>
      </c>
      <c r="B546" t="s">
        <v>11</v>
      </c>
      <c r="C546">
        <v>10</v>
      </c>
      <c r="D546">
        <v>167.2</v>
      </c>
      <c r="E546">
        <v>1672</v>
      </c>
      <c r="F546" s="1">
        <v>45680</v>
      </c>
      <c r="G546" s="1">
        <v>45682</v>
      </c>
      <c r="H546" t="s">
        <v>12</v>
      </c>
      <c r="I546" t="s">
        <v>25</v>
      </c>
      <c r="J546">
        <v>5</v>
      </c>
      <c r="K546" t="s">
        <v>4</v>
      </c>
      <c r="L546" t="s">
        <v>294</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621</v>
      </c>
      <c r="B547" t="s">
        <v>24</v>
      </c>
      <c r="C547">
        <v>30</v>
      </c>
      <c r="D547">
        <v>74.5</v>
      </c>
      <c r="E547">
        <v>2235</v>
      </c>
      <c r="F547" s="1">
        <v>45681</v>
      </c>
      <c r="G547" s="1">
        <v>45684</v>
      </c>
      <c r="H547" t="s">
        <v>12</v>
      </c>
      <c r="I547" t="s">
        <v>20</v>
      </c>
      <c r="J547">
        <v>5</v>
      </c>
      <c r="K547" t="s">
        <v>4</v>
      </c>
      <c r="L547" t="s">
        <v>362</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622</v>
      </c>
      <c r="B548" t="s">
        <v>27</v>
      </c>
      <c r="C548">
        <v>4</v>
      </c>
      <c r="D548">
        <v>39.299999999999997</v>
      </c>
      <c r="E548">
        <v>157.19999999999999</v>
      </c>
      <c r="F548" s="1">
        <v>45681</v>
      </c>
      <c r="G548" s="1">
        <v>45682</v>
      </c>
      <c r="H548" t="s">
        <v>2</v>
      </c>
      <c r="I548" t="s">
        <v>25</v>
      </c>
      <c r="J548">
        <v>4</v>
      </c>
      <c r="K548" t="s">
        <v>4</v>
      </c>
      <c r="L548" t="s">
        <v>95</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623</v>
      </c>
      <c r="B549" t="s">
        <v>31</v>
      </c>
      <c r="C549">
        <v>1</v>
      </c>
      <c r="D549">
        <v>68.5</v>
      </c>
      <c r="E549">
        <v>68.5</v>
      </c>
      <c r="F549" s="1">
        <v>45681</v>
      </c>
      <c r="G549" s="1">
        <v>45684</v>
      </c>
      <c r="H549" t="s">
        <v>8</v>
      </c>
      <c r="I549" t="s">
        <v>20</v>
      </c>
      <c r="J549">
        <v>5</v>
      </c>
      <c r="K549" t="s">
        <v>4</v>
      </c>
      <c r="L549" t="s">
        <v>64</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624</v>
      </c>
      <c r="B550" t="s">
        <v>1</v>
      </c>
      <c r="C550">
        <v>3</v>
      </c>
      <c r="D550">
        <v>22.5</v>
      </c>
      <c r="E550">
        <v>67.5</v>
      </c>
      <c r="F550" s="1">
        <v>45681</v>
      </c>
      <c r="G550" s="1">
        <v>45681</v>
      </c>
      <c r="H550" t="s">
        <v>12</v>
      </c>
      <c r="I550" t="s">
        <v>55</v>
      </c>
      <c r="J550">
        <v>4</v>
      </c>
      <c r="K550" t="s">
        <v>4</v>
      </c>
      <c r="L550" t="s">
        <v>67</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625</v>
      </c>
      <c r="B551" t="s">
        <v>7</v>
      </c>
      <c r="C551">
        <v>1</v>
      </c>
      <c r="D551">
        <v>48</v>
      </c>
      <c r="E551">
        <v>48</v>
      </c>
      <c r="F551" s="1">
        <v>45681</v>
      </c>
      <c r="G551" s="1">
        <v>45682</v>
      </c>
      <c r="H551" t="s">
        <v>74</v>
      </c>
      <c r="I551" t="s">
        <v>55</v>
      </c>
      <c r="J551">
        <v>3</v>
      </c>
      <c r="K551" t="s">
        <v>4</v>
      </c>
      <c r="L551" t="s">
        <v>626</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627</v>
      </c>
      <c r="B552" t="s">
        <v>24</v>
      </c>
      <c r="C552">
        <v>1</v>
      </c>
      <c r="D552">
        <v>94</v>
      </c>
      <c r="E552">
        <v>94</v>
      </c>
      <c r="F552" s="1">
        <v>45681</v>
      </c>
      <c r="G552" s="1">
        <v>45682</v>
      </c>
      <c r="H552" t="s">
        <v>8</v>
      </c>
      <c r="I552" t="s">
        <v>36</v>
      </c>
      <c r="J552">
        <v>3</v>
      </c>
      <c r="K552" t="s">
        <v>4</v>
      </c>
      <c r="L552" t="s">
        <v>9</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628</v>
      </c>
      <c r="B553" t="s">
        <v>29</v>
      </c>
      <c r="C553">
        <v>3</v>
      </c>
      <c r="D553">
        <v>21.9</v>
      </c>
      <c r="E553">
        <v>65.699999999999989</v>
      </c>
      <c r="F553" s="1">
        <v>45681</v>
      </c>
      <c r="G553" s="1">
        <v>45682</v>
      </c>
      <c r="H553" t="s">
        <v>12</v>
      </c>
      <c r="I553" t="s">
        <v>3</v>
      </c>
      <c r="J553">
        <v>4</v>
      </c>
      <c r="K553" t="s">
        <v>4</v>
      </c>
      <c r="L553" t="s">
        <v>572</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629</v>
      </c>
      <c r="B554" t="s">
        <v>24</v>
      </c>
      <c r="C554">
        <v>7</v>
      </c>
      <c r="D554">
        <v>64.900000000000006</v>
      </c>
      <c r="E554">
        <v>454.30000000000007</v>
      </c>
      <c r="F554" s="1">
        <v>45681</v>
      </c>
      <c r="G554" s="1">
        <v>45682</v>
      </c>
      <c r="H554" t="s">
        <v>12</v>
      </c>
      <c r="I554" t="s">
        <v>3</v>
      </c>
      <c r="J554">
        <v>4</v>
      </c>
      <c r="K554" t="s">
        <v>4</v>
      </c>
      <c r="L554" t="s">
        <v>18</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630</v>
      </c>
      <c r="B555" t="s">
        <v>54</v>
      </c>
      <c r="C555">
        <v>1</v>
      </c>
      <c r="D555">
        <v>52.9</v>
      </c>
      <c r="E555">
        <v>52.9</v>
      </c>
      <c r="F555" s="1">
        <v>45681</v>
      </c>
      <c r="G555" s="1">
        <v>45681</v>
      </c>
      <c r="H555" t="s">
        <v>12</v>
      </c>
      <c r="I555" t="s">
        <v>20</v>
      </c>
      <c r="J555">
        <v>3</v>
      </c>
      <c r="K555" t="s">
        <v>4</v>
      </c>
      <c r="L555" t="s">
        <v>18</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631</v>
      </c>
      <c r="B556" t="s">
        <v>29</v>
      </c>
      <c r="C556">
        <v>3</v>
      </c>
      <c r="D556">
        <v>25.5</v>
      </c>
      <c r="E556">
        <v>76.5</v>
      </c>
      <c r="F556" s="1">
        <v>45681</v>
      </c>
      <c r="G556" s="1">
        <v>45682</v>
      </c>
      <c r="H556" t="s">
        <v>12</v>
      </c>
      <c r="I556" t="s">
        <v>20</v>
      </c>
      <c r="J556">
        <v>5</v>
      </c>
      <c r="K556" t="s">
        <v>4</v>
      </c>
      <c r="L556" t="s">
        <v>18</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632</v>
      </c>
      <c r="B557" t="s">
        <v>24</v>
      </c>
      <c r="C557">
        <v>3</v>
      </c>
      <c r="D557">
        <v>51.9</v>
      </c>
      <c r="E557">
        <v>155.69999999999999</v>
      </c>
      <c r="F557" s="1">
        <v>45681</v>
      </c>
      <c r="G557" s="1">
        <v>45682</v>
      </c>
      <c r="H557" t="s">
        <v>12</v>
      </c>
      <c r="I557" t="s">
        <v>36</v>
      </c>
      <c r="J557">
        <v>4</v>
      </c>
      <c r="K557" t="s">
        <v>4</v>
      </c>
      <c r="L557" t="s">
        <v>18</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633</v>
      </c>
      <c r="B558" t="s">
        <v>22</v>
      </c>
      <c r="C558">
        <v>1</v>
      </c>
      <c r="D558">
        <v>46.3</v>
      </c>
      <c r="E558">
        <v>46.3</v>
      </c>
      <c r="F558" s="1">
        <v>45681</v>
      </c>
      <c r="G558" s="1">
        <v>45684</v>
      </c>
      <c r="H558" t="s">
        <v>12</v>
      </c>
      <c r="I558" t="s">
        <v>55</v>
      </c>
      <c r="J558">
        <v>4</v>
      </c>
      <c r="K558" t="s">
        <v>4</v>
      </c>
      <c r="L558" t="s">
        <v>18</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634</v>
      </c>
      <c r="B559" t="s">
        <v>24</v>
      </c>
      <c r="C559">
        <v>2</v>
      </c>
      <c r="D559">
        <v>68.2</v>
      </c>
      <c r="E559">
        <v>136.4</v>
      </c>
      <c r="F559" s="1">
        <v>45681</v>
      </c>
      <c r="G559" s="1">
        <v>45683</v>
      </c>
      <c r="H559" t="s">
        <v>12</v>
      </c>
      <c r="I559" t="s">
        <v>36</v>
      </c>
      <c r="J559">
        <v>4</v>
      </c>
      <c r="K559" t="s">
        <v>4</v>
      </c>
      <c r="L559" t="s">
        <v>18</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635</v>
      </c>
      <c r="B560" t="s">
        <v>7</v>
      </c>
      <c r="C560">
        <v>1</v>
      </c>
      <c r="D560">
        <v>40.299999999999997</v>
      </c>
      <c r="E560">
        <v>40.299999999999997</v>
      </c>
      <c r="F560" s="1">
        <v>45681</v>
      </c>
      <c r="G560" s="1">
        <v>45682</v>
      </c>
      <c r="H560" t="s">
        <v>8</v>
      </c>
      <c r="I560" t="s">
        <v>3</v>
      </c>
      <c r="J560">
        <v>3</v>
      </c>
      <c r="K560" t="s">
        <v>4</v>
      </c>
      <c r="L560" t="s">
        <v>18</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636</v>
      </c>
      <c r="B561" t="s">
        <v>11</v>
      </c>
      <c r="C561">
        <v>3</v>
      </c>
      <c r="D561">
        <v>91.3</v>
      </c>
      <c r="E561">
        <v>273.89999999999998</v>
      </c>
      <c r="F561" s="1">
        <v>45681</v>
      </c>
      <c r="G561" s="1">
        <v>45686</v>
      </c>
      <c r="H561" t="s">
        <v>8</v>
      </c>
      <c r="I561" t="s">
        <v>3</v>
      </c>
      <c r="J561">
        <v>5</v>
      </c>
      <c r="K561" t="s">
        <v>4</v>
      </c>
      <c r="L561" t="s">
        <v>40</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637</v>
      </c>
      <c r="B562" t="s">
        <v>1</v>
      </c>
      <c r="C562">
        <v>3</v>
      </c>
      <c r="D562">
        <v>11.9</v>
      </c>
      <c r="E562">
        <v>35.700000000000003</v>
      </c>
      <c r="F562" s="1">
        <v>45681</v>
      </c>
      <c r="G562" s="1">
        <v>45682</v>
      </c>
      <c r="H562" t="s">
        <v>12</v>
      </c>
      <c r="I562" t="s">
        <v>3</v>
      </c>
      <c r="J562">
        <v>3</v>
      </c>
      <c r="K562" t="s">
        <v>4</v>
      </c>
      <c r="L562" t="s">
        <v>40</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638</v>
      </c>
      <c r="B563" t="s">
        <v>11</v>
      </c>
      <c r="C563">
        <v>2</v>
      </c>
      <c r="D563">
        <v>63.5</v>
      </c>
      <c r="E563">
        <v>127</v>
      </c>
      <c r="F563" s="1">
        <v>45681</v>
      </c>
      <c r="G563" s="1">
        <v>45683</v>
      </c>
      <c r="H563" t="s">
        <v>8</v>
      </c>
      <c r="I563" t="s">
        <v>20</v>
      </c>
      <c r="J563">
        <v>4</v>
      </c>
      <c r="K563" t="s">
        <v>4</v>
      </c>
      <c r="L563" t="s">
        <v>40</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639</v>
      </c>
      <c r="B564" t="s">
        <v>17</v>
      </c>
      <c r="C564">
        <v>2</v>
      </c>
      <c r="D564">
        <v>27.1</v>
      </c>
      <c r="E564">
        <v>54.2</v>
      </c>
      <c r="F564" s="1">
        <v>45681</v>
      </c>
      <c r="G564" s="1">
        <v>45684</v>
      </c>
      <c r="H564" t="s">
        <v>8</v>
      </c>
      <c r="I564" t="s">
        <v>25</v>
      </c>
      <c r="J564">
        <v>5</v>
      </c>
      <c r="K564" t="s">
        <v>4</v>
      </c>
      <c r="L564" t="s">
        <v>40</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640</v>
      </c>
      <c r="B565" t="s">
        <v>7</v>
      </c>
      <c r="C565">
        <v>2</v>
      </c>
      <c r="D565">
        <v>82.1</v>
      </c>
      <c r="E565">
        <v>164.2</v>
      </c>
      <c r="F565" s="1">
        <v>45682</v>
      </c>
      <c r="G565" s="1">
        <v>45685</v>
      </c>
      <c r="H565" t="s">
        <v>8</v>
      </c>
      <c r="I565" t="s">
        <v>20</v>
      </c>
      <c r="J565">
        <v>3</v>
      </c>
      <c r="K565" t="s">
        <v>4</v>
      </c>
      <c r="L565" t="s">
        <v>44</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641</v>
      </c>
      <c r="B566" t="s">
        <v>15</v>
      </c>
      <c r="C566">
        <v>5</v>
      </c>
      <c r="D566">
        <v>42.9</v>
      </c>
      <c r="E566">
        <v>214.5</v>
      </c>
      <c r="F566" s="1">
        <v>45682</v>
      </c>
      <c r="G566" s="1">
        <v>45684</v>
      </c>
      <c r="H566" t="s">
        <v>12</v>
      </c>
      <c r="I566" t="s">
        <v>20</v>
      </c>
      <c r="J566">
        <v>4</v>
      </c>
      <c r="K566" t="s">
        <v>4</v>
      </c>
      <c r="L566" t="s">
        <v>47</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642</v>
      </c>
      <c r="B567" t="s">
        <v>29</v>
      </c>
      <c r="C567">
        <v>11</v>
      </c>
      <c r="D567">
        <v>37.9</v>
      </c>
      <c r="E567">
        <v>416.9</v>
      </c>
      <c r="F567" s="1">
        <v>45682</v>
      </c>
      <c r="G567" s="1">
        <v>45689</v>
      </c>
      <c r="H567" t="s">
        <v>8</v>
      </c>
      <c r="I567" t="s">
        <v>3</v>
      </c>
      <c r="J567">
        <v>4</v>
      </c>
      <c r="K567" t="s">
        <v>4</v>
      </c>
      <c r="L567" t="s">
        <v>47</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643</v>
      </c>
      <c r="B568" t="s">
        <v>1</v>
      </c>
      <c r="C568">
        <v>1</v>
      </c>
      <c r="D568">
        <v>22.4</v>
      </c>
      <c r="E568">
        <v>22.4</v>
      </c>
      <c r="F568" s="1">
        <v>45682</v>
      </c>
      <c r="G568" s="1">
        <v>45683</v>
      </c>
      <c r="H568" t="s">
        <v>12</v>
      </c>
      <c r="I568" t="s">
        <v>3</v>
      </c>
      <c r="J568">
        <v>3</v>
      </c>
      <c r="K568" t="s">
        <v>4</v>
      </c>
      <c r="L568" t="s">
        <v>88</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644</v>
      </c>
      <c r="B569" t="s">
        <v>11</v>
      </c>
      <c r="C569">
        <v>13</v>
      </c>
      <c r="D569">
        <v>79.900000000000006</v>
      </c>
      <c r="E569">
        <v>1038.7</v>
      </c>
      <c r="F569" s="1">
        <v>45682</v>
      </c>
      <c r="G569" s="1">
        <v>45695</v>
      </c>
      <c r="H569" t="s">
        <v>12</v>
      </c>
      <c r="I569" t="s">
        <v>36</v>
      </c>
      <c r="J569">
        <v>3</v>
      </c>
      <c r="K569" t="s">
        <v>4</v>
      </c>
      <c r="L569" t="s">
        <v>62</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645</v>
      </c>
      <c r="B570" t="s">
        <v>7</v>
      </c>
      <c r="C570">
        <v>1</v>
      </c>
      <c r="D570">
        <v>70.599999999999994</v>
      </c>
      <c r="E570">
        <v>70.599999999999994</v>
      </c>
      <c r="F570" s="1">
        <v>45682</v>
      </c>
      <c r="G570" s="1">
        <v>45685</v>
      </c>
      <c r="H570" t="s">
        <v>12</v>
      </c>
      <c r="I570" t="s">
        <v>3</v>
      </c>
      <c r="J570">
        <v>3</v>
      </c>
      <c r="K570" t="s">
        <v>4</v>
      </c>
      <c r="L570" t="s">
        <v>62</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646</v>
      </c>
      <c r="B571" t="s">
        <v>24</v>
      </c>
      <c r="C571">
        <v>1</v>
      </c>
      <c r="D571">
        <v>49.5</v>
      </c>
      <c r="E571">
        <v>49.5</v>
      </c>
      <c r="F571" s="1">
        <v>45682</v>
      </c>
      <c r="G571" s="1">
        <v>45684</v>
      </c>
      <c r="H571" t="s">
        <v>8</v>
      </c>
      <c r="I571" t="s">
        <v>3</v>
      </c>
      <c r="J571">
        <v>4</v>
      </c>
      <c r="K571" t="s">
        <v>4</v>
      </c>
      <c r="L571" t="s">
        <v>67</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647</v>
      </c>
      <c r="B572" t="s">
        <v>11</v>
      </c>
      <c r="C572">
        <v>2</v>
      </c>
      <c r="D572">
        <v>96.6</v>
      </c>
      <c r="E572">
        <v>193.2</v>
      </c>
      <c r="F572" s="1">
        <v>45682</v>
      </c>
      <c r="G572" s="1">
        <v>45684</v>
      </c>
      <c r="H572" t="s">
        <v>8</v>
      </c>
      <c r="I572" t="s">
        <v>3</v>
      </c>
      <c r="J572">
        <v>4</v>
      </c>
      <c r="K572" t="s">
        <v>4</v>
      </c>
      <c r="L572" t="s">
        <v>100</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648</v>
      </c>
      <c r="B573" t="s">
        <v>24</v>
      </c>
      <c r="C573">
        <v>2</v>
      </c>
      <c r="D573">
        <v>52.8</v>
      </c>
      <c r="E573">
        <v>105.6</v>
      </c>
      <c r="F573" s="1">
        <v>45682</v>
      </c>
      <c r="G573" s="1">
        <v>45683</v>
      </c>
      <c r="H573" t="s">
        <v>12</v>
      </c>
      <c r="I573" t="s">
        <v>20</v>
      </c>
      <c r="J573">
        <v>3</v>
      </c>
      <c r="K573" t="s">
        <v>4</v>
      </c>
      <c r="L573" t="s">
        <v>100</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649</v>
      </c>
      <c r="B574" t="s">
        <v>11</v>
      </c>
      <c r="C574">
        <v>1</v>
      </c>
      <c r="D574">
        <v>101.7</v>
      </c>
      <c r="E574">
        <v>101.7</v>
      </c>
      <c r="F574" s="1">
        <v>45682</v>
      </c>
      <c r="G574" s="1">
        <v>45683</v>
      </c>
      <c r="H574" t="s">
        <v>8</v>
      </c>
      <c r="I574" t="s">
        <v>3</v>
      </c>
      <c r="J574">
        <v>4</v>
      </c>
      <c r="K574" t="s">
        <v>4</v>
      </c>
      <c r="L574" t="s">
        <v>9</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650</v>
      </c>
      <c r="B575" t="s">
        <v>17</v>
      </c>
      <c r="C575">
        <v>5</v>
      </c>
      <c r="D575">
        <v>26.9</v>
      </c>
      <c r="E575">
        <v>134.5</v>
      </c>
      <c r="F575" s="1">
        <v>45682</v>
      </c>
      <c r="G575" s="1">
        <v>45687</v>
      </c>
      <c r="H575" t="s">
        <v>12</v>
      </c>
      <c r="I575" t="s">
        <v>20</v>
      </c>
      <c r="J575">
        <v>3</v>
      </c>
      <c r="K575" t="s">
        <v>4</v>
      </c>
      <c r="L575" t="s">
        <v>132</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651</v>
      </c>
      <c r="B576" t="s">
        <v>11</v>
      </c>
      <c r="C576">
        <v>4</v>
      </c>
      <c r="D576">
        <v>211</v>
      </c>
      <c r="E576">
        <v>844</v>
      </c>
      <c r="F576" s="1">
        <v>45682</v>
      </c>
      <c r="G576" s="1">
        <v>45682</v>
      </c>
      <c r="H576" t="s">
        <v>12</v>
      </c>
      <c r="I576" t="s">
        <v>20</v>
      </c>
      <c r="J576">
        <v>3</v>
      </c>
      <c r="K576" t="s">
        <v>4</v>
      </c>
      <c r="L576" t="s">
        <v>18</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652</v>
      </c>
      <c r="B577" t="s">
        <v>1</v>
      </c>
      <c r="C577">
        <v>4</v>
      </c>
      <c r="D577">
        <v>21.1</v>
      </c>
      <c r="E577">
        <v>84.4</v>
      </c>
      <c r="F577" s="1">
        <v>45682</v>
      </c>
      <c r="G577" s="1">
        <v>45685</v>
      </c>
      <c r="H577" t="s">
        <v>8</v>
      </c>
      <c r="I577" t="s">
        <v>55</v>
      </c>
      <c r="J577">
        <v>4</v>
      </c>
      <c r="K577" t="s">
        <v>4</v>
      </c>
      <c r="L577" t="s">
        <v>18</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653</v>
      </c>
      <c r="B578" t="s">
        <v>39</v>
      </c>
      <c r="C578">
        <v>1</v>
      </c>
      <c r="D578">
        <v>26.6</v>
      </c>
      <c r="E578">
        <v>26.6</v>
      </c>
      <c r="F578" s="1">
        <v>45682</v>
      </c>
      <c r="G578" s="1">
        <v>45684</v>
      </c>
      <c r="H578" t="s">
        <v>8</v>
      </c>
      <c r="I578" t="s">
        <v>3</v>
      </c>
      <c r="J578">
        <v>2</v>
      </c>
      <c r="K578" t="s">
        <v>4</v>
      </c>
      <c r="L578" t="s">
        <v>18</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654</v>
      </c>
      <c r="B579" t="s">
        <v>54</v>
      </c>
      <c r="C579">
        <v>4</v>
      </c>
      <c r="D579">
        <v>51.2</v>
      </c>
      <c r="E579">
        <v>204.8</v>
      </c>
      <c r="F579" s="1">
        <v>45682</v>
      </c>
      <c r="G579" s="1">
        <v>45683</v>
      </c>
      <c r="H579" t="s">
        <v>12</v>
      </c>
      <c r="I579" t="s">
        <v>36</v>
      </c>
      <c r="J579">
        <v>4</v>
      </c>
      <c r="K579" t="s">
        <v>4</v>
      </c>
      <c r="L579" t="s">
        <v>655</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656</v>
      </c>
      <c r="B580" t="s">
        <v>1</v>
      </c>
      <c r="C580">
        <v>5</v>
      </c>
      <c r="D580">
        <v>10.6</v>
      </c>
      <c r="E580">
        <v>53</v>
      </c>
      <c r="F580" s="1">
        <v>45682</v>
      </c>
      <c r="G580" s="1">
        <v>45686</v>
      </c>
      <c r="H580" t="s">
        <v>12</v>
      </c>
      <c r="I580" t="s">
        <v>3</v>
      </c>
      <c r="J580">
        <v>4</v>
      </c>
      <c r="K580" t="s">
        <v>4</v>
      </c>
      <c r="L580" t="s">
        <v>47</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657</v>
      </c>
      <c r="B581" t="s">
        <v>24</v>
      </c>
      <c r="C581">
        <v>3</v>
      </c>
      <c r="D581">
        <v>43.4</v>
      </c>
      <c r="E581">
        <v>130.19999999999999</v>
      </c>
      <c r="F581" s="1">
        <v>45682</v>
      </c>
      <c r="G581" s="1">
        <v>45685</v>
      </c>
      <c r="H581" t="s">
        <v>12</v>
      </c>
      <c r="I581" t="s">
        <v>55</v>
      </c>
      <c r="J581">
        <v>4</v>
      </c>
      <c r="K581" t="s">
        <v>4</v>
      </c>
      <c r="L581" t="s">
        <v>47</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658</v>
      </c>
      <c r="B582" t="s">
        <v>54</v>
      </c>
      <c r="C582">
        <v>1</v>
      </c>
      <c r="D582">
        <v>80</v>
      </c>
      <c r="E582">
        <v>80</v>
      </c>
      <c r="F582" s="1">
        <v>45682</v>
      </c>
      <c r="G582" s="1">
        <v>45682</v>
      </c>
      <c r="H582" t="s">
        <v>12</v>
      </c>
      <c r="I582" t="s">
        <v>3</v>
      </c>
      <c r="J582">
        <v>5</v>
      </c>
      <c r="K582" t="s">
        <v>4</v>
      </c>
      <c r="L582" t="s">
        <v>47</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659</v>
      </c>
      <c r="B583" t="s">
        <v>39</v>
      </c>
      <c r="C583">
        <v>4</v>
      </c>
      <c r="D583">
        <v>64.7</v>
      </c>
      <c r="E583">
        <v>258.8</v>
      </c>
      <c r="F583" s="1">
        <v>45682</v>
      </c>
      <c r="G583" s="1">
        <v>45684</v>
      </c>
      <c r="H583" t="s">
        <v>12</v>
      </c>
      <c r="I583" t="s">
        <v>20</v>
      </c>
      <c r="J583">
        <v>2</v>
      </c>
      <c r="K583" t="s">
        <v>4</v>
      </c>
      <c r="L583" t="s">
        <v>47</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660</v>
      </c>
      <c r="B584" t="s">
        <v>29</v>
      </c>
      <c r="C584">
        <v>11</v>
      </c>
      <c r="D584">
        <v>26.3</v>
      </c>
      <c r="E584">
        <v>289.3</v>
      </c>
      <c r="F584" s="1">
        <v>45683</v>
      </c>
      <c r="G584" s="1">
        <v>45683</v>
      </c>
      <c r="H584" t="s">
        <v>12</v>
      </c>
      <c r="I584" t="s">
        <v>55</v>
      </c>
      <c r="J584">
        <v>3</v>
      </c>
      <c r="K584" t="s">
        <v>4</v>
      </c>
      <c r="L584" t="s">
        <v>186</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661</v>
      </c>
      <c r="B585" t="s">
        <v>39</v>
      </c>
      <c r="C585">
        <v>1</v>
      </c>
      <c r="D585">
        <v>28.5</v>
      </c>
      <c r="E585">
        <v>28.5</v>
      </c>
      <c r="F585" s="1">
        <v>45683</v>
      </c>
      <c r="G585" s="1">
        <v>45683</v>
      </c>
      <c r="H585" t="s">
        <v>8</v>
      </c>
      <c r="I585" t="s">
        <v>3</v>
      </c>
      <c r="J585">
        <v>3</v>
      </c>
      <c r="K585" t="s">
        <v>4</v>
      </c>
      <c r="L585" t="s">
        <v>57</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662</v>
      </c>
      <c r="B586" t="s">
        <v>120</v>
      </c>
      <c r="C586">
        <v>1</v>
      </c>
      <c r="D586">
        <v>47.8</v>
      </c>
      <c r="E586">
        <v>47.8</v>
      </c>
      <c r="F586" s="1">
        <v>45683</v>
      </c>
      <c r="G586" s="1">
        <v>45685</v>
      </c>
      <c r="H586" t="s">
        <v>12</v>
      </c>
      <c r="I586" t="s">
        <v>3</v>
      </c>
      <c r="J586">
        <v>3</v>
      </c>
      <c r="K586" t="s">
        <v>4</v>
      </c>
      <c r="L586" t="s">
        <v>57</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663</v>
      </c>
      <c r="B587" t="s">
        <v>39</v>
      </c>
      <c r="C587">
        <v>3</v>
      </c>
      <c r="D587">
        <v>42.8</v>
      </c>
      <c r="E587">
        <v>128.39999999999998</v>
      </c>
      <c r="F587" s="1">
        <v>45683</v>
      </c>
      <c r="G587" s="1">
        <v>45686</v>
      </c>
      <c r="H587" t="s">
        <v>12</v>
      </c>
      <c r="I587" t="s">
        <v>55</v>
      </c>
      <c r="J587">
        <v>3</v>
      </c>
      <c r="K587" t="s">
        <v>4</v>
      </c>
      <c r="L587" t="s">
        <v>62</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664</v>
      </c>
      <c r="B588" t="s">
        <v>24</v>
      </c>
      <c r="C588">
        <v>5</v>
      </c>
      <c r="D588">
        <v>46.8</v>
      </c>
      <c r="E588">
        <v>234</v>
      </c>
      <c r="F588" s="1">
        <v>45683</v>
      </c>
      <c r="G588" s="1">
        <v>45688</v>
      </c>
      <c r="H588" t="s">
        <v>12</v>
      </c>
      <c r="I588" t="s">
        <v>20</v>
      </c>
      <c r="J588">
        <v>5</v>
      </c>
      <c r="K588" t="s">
        <v>4</v>
      </c>
      <c r="L588" t="s">
        <v>62</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665</v>
      </c>
      <c r="B589" t="s">
        <v>7</v>
      </c>
      <c r="C589">
        <v>10</v>
      </c>
      <c r="D589">
        <v>64.099999999999994</v>
      </c>
      <c r="E589">
        <v>641</v>
      </c>
      <c r="F589" s="1">
        <v>45683</v>
      </c>
      <c r="G589" s="1">
        <v>45684</v>
      </c>
      <c r="H589" t="s">
        <v>8</v>
      </c>
      <c r="I589" t="s">
        <v>20</v>
      </c>
      <c r="J589">
        <v>4</v>
      </c>
      <c r="K589" t="s">
        <v>4</v>
      </c>
      <c r="L589" t="s">
        <v>62</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666</v>
      </c>
      <c r="B590" t="s">
        <v>11</v>
      </c>
      <c r="C590">
        <v>1</v>
      </c>
      <c r="D590">
        <v>89.1</v>
      </c>
      <c r="E590">
        <v>89.1</v>
      </c>
      <c r="F590" s="1">
        <v>45683</v>
      </c>
      <c r="G590" s="1">
        <v>45684</v>
      </c>
      <c r="H590" t="s">
        <v>12</v>
      </c>
      <c r="I590" t="s">
        <v>3</v>
      </c>
      <c r="J590">
        <v>3</v>
      </c>
      <c r="K590" t="s">
        <v>4</v>
      </c>
      <c r="L590" t="s">
        <v>98</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667</v>
      </c>
      <c r="B591" t="s">
        <v>11</v>
      </c>
      <c r="C591">
        <v>3</v>
      </c>
      <c r="D591">
        <v>83.1</v>
      </c>
      <c r="E591">
        <v>249.29999999999998</v>
      </c>
      <c r="F591" s="1">
        <v>45683</v>
      </c>
      <c r="G591" s="1">
        <v>45684</v>
      </c>
      <c r="H591" t="s">
        <v>12</v>
      </c>
      <c r="I591" t="s">
        <v>25</v>
      </c>
      <c r="J591">
        <v>3</v>
      </c>
      <c r="K591" t="s">
        <v>4</v>
      </c>
      <c r="L591" t="s">
        <v>67</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668</v>
      </c>
      <c r="B592" t="s">
        <v>29</v>
      </c>
      <c r="C592">
        <v>3</v>
      </c>
      <c r="D592">
        <v>40.9</v>
      </c>
      <c r="E592">
        <v>122.69999999999999</v>
      </c>
      <c r="F592" s="1">
        <v>45683</v>
      </c>
      <c r="G592" s="1">
        <v>45684</v>
      </c>
      <c r="H592" t="s">
        <v>8</v>
      </c>
      <c r="I592" t="s">
        <v>3</v>
      </c>
      <c r="J592">
        <v>4</v>
      </c>
      <c r="K592" t="s">
        <v>4</v>
      </c>
      <c r="L592" t="s">
        <v>9</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669</v>
      </c>
      <c r="B593" t="s">
        <v>11</v>
      </c>
      <c r="C593">
        <v>2</v>
      </c>
      <c r="D593">
        <v>125.7</v>
      </c>
      <c r="E593">
        <v>251.4</v>
      </c>
      <c r="F593" s="1">
        <v>45683</v>
      </c>
      <c r="G593" s="1">
        <v>45684</v>
      </c>
      <c r="H593" t="s">
        <v>12</v>
      </c>
      <c r="I593" t="s">
        <v>36</v>
      </c>
      <c r="J593">
        <v>4</v>
      </c>
      <c r="K593" t="s">
        <v>4</v>
      </c>
      <c r="L593" t="s">
        <v>13</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670</v>
      </c>
      <c r="B594" t="s">
        <v>15</v>
      </c>
      <c r="C594">
        <v>2</v>
      </c>
      <c r="D594">
        <v>30.9</v>
      </c>
      <c r="E594">
        <v>61.8</v>
      </c>
      <c r="F594" s="1">
        <v>45683</v>
      </c>
      <c r="G594" s="1">
        <v>45683</v>
      </c>
      <c r="H594" t="s">
        <v>12</v>
      </c>
      <c r="I594" t="s">
        <v>25</v>
      </c>
      <c r="J594">
        <v>5</v>
      </c>
      <c r="K594" t="s">
        <v>4</v>
      </c>
      <c r="L594" t="s">
        <v>132</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671</v>
      </c>
      <c r="B595" t="s">
        <v>29</v>
      </c>
      <c r="C595">
        <v>2</v>
      </c>
      <c r="D595">
        <v>18.3</v>
      </c>
      <c r="E595">
        <v>36.6</v>
      </c>
      <c r="F595" s="1">
        <v>45683</v>
      </c>
      <c r="G595" s="1">
        <v>45684</v>
      </c>
      <c r="H595" t="s">
        <v>12</v>
      </c>
      <c r="I595" t="s">
        <v>20</v>
      </c>
      <c r="J595">
        <v>4</v>
      </c>
      <c r="K595" t="s">
        <v>4</v>
      </c>
      <c r="L595" t="s">
        <v>18</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672</v>
      </c>
      <c r="B596" t="s">
        <v>17</v>
      </c>
      <c r="C596">
        <v>2</v>
      </c>
      <c r="D596">
        <v>56.5</v>
      </c>
      <c r="E596">
        <v>113</v>
      </c>
      <c r="F596" s="1">
        <v>45683</v>
      </c>
      <c r="G596" s="1">
        <v>45687</v>
      </c>
      <c r="H596" t="s">
        <v>8</v>
      </c>
      <c r="I596" t="s">
        <v>25</v>
      </c>
      <c r="J596">
        <v>5</v>
      </c>
      <c r="K596" t="s">
        <v>4</v>
      </c>
      <c r="L596" t="s">
        <v>18</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673</v>
      </c>
      <c r="B597" t="s">
        <v>39</v>
      </c>
      <c r="C597">
        <v>7</v>
      </c>
      <c r="D597">
        <v>29.9</v>
      </c>
      <c r="E597">
        <v>209.29999999999998</v>
      </c>
      <c r="F597" s="1">
        <v>45683</v>
      </c>
      <c r="G597" s="1">
        <v>45685</v>
      </c>
      <c r="H597" t="s">
        <v>8</v>
      </c>
      <c r="I597" t="s">
        <v>55</v>
      </c>
      <c r="J597">
        <v>5</v>
      </c>
      <c r="K597" t="s">
        <v>4</v>
      </c>
      <c r="L597" t="s">
        <v>18</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674</v>
      </c>
      <c r="B598" t="s">
        <v>22</v>
      </c>
      <c r="C598">
        <v>2</v>
      </c>
      <c r="D598">
        <v>50.4</v>
      </c>
      <c r="E598">
        <v>100.8</v>
      </c>
      <c r="F598" s="1">
        <v>45683</v>
      </c>
      <c r="G598" s="1">
        <v>45684</v>
      </c>
      <c r="H598" t="s">
        <v>12</v>
      </c>
      <c r="I598" t="s">
        <v>25</v>
      </c>
      <c r="J598">
        <v>4</v>
      </c>
      <c r="K598" t="s">
        <v>4</v>
      </c>
      <c r="L598" t="s">
        <v>18</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675</v>
      </c>
      <c r="B599" t="s">
        <v>11</v>
      </c>
      <c r="C599">
        <v>1</v>
      </c>
      <c r="D599">
        <v>85.8</v>
      </c>
      <c r="E599">
        <v>85.8</v>
      </c>
      <c r="F599" s="1">
        <v>45683</v>
      </c>
      <c r="G599" s="1">
        <v>45683</v>
      </c>
      <c r="H599" t="s">
        <v>12</v>
      </c>
      <c r="I599" t="s">
        <v>25</v>
      </c>
      <c r="J599">
        <v>5</v>
      </c>
      <c r="K599" t="s">
        <v>4</v>
      </c>
      <c r="L599" t="s">
        <v>18</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676</v>
      </c>
      <c r="B600" t="s">
        <v>17</v>
      </c>
      <c r="C600">
        <v>16</v>
      </c>
      <c r="D600">
        <v>66.599999999999994</v>
      </c>
      <c r="E600">
        <v>1065.5999999999999</v>
      </c>
      <c r="F600" s="1">
        <v>45683</v>
      </c>
      <c r="G600" s="1">
        <v>45685</v>
      </c>
      <c r="H600" t="s">
        <v>8</v>
      </c>
      <c r="I600" t="s">
        <v>20</v>
      </c>
      <c r="J600">
        <v>4</v>
      </c>
      <c r="K600" t="s">
        <v>4</v>
      </c>
      <c r="L600" t="s">
        <v>18</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677</v>
      </c>
      <c r="B601" t="s">
        <v>24</v>
      </c>
      <c r="C601">
        <v>4</v>
      </c>
      <c r="D601">
        <v>70.3</v>
      </c>
      <c r="E601">
        <v>281.2</v>
      </c>
      <c r="F601" s="1">
        <v>45683</v>
      </c>
      <c r="G601" s="1">
        <v>45684</v>
      </c>
      <c r="H601" t="s">
        <v>12</v>
      </c>
      <c r="I601" t="s">
        <v>3</v>
      </c>
      <c r="J601">
        <v>3</v>
      </c>
      <c r="K601" t="s">
        <v>4</v>
      </c>
      <c r="L601" t="s">
        <v>18</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678</v>
      </c>
      <c r="B602" t="s">
        <v>29</v>
      </c>
      <c r="C602">
        <v>4</v>
      </c>
      <c r="D602">
        <v>31</v>
      </c>
      <c r="E602">
        <v>124</v>
      </c>
      <c r="F602" s="1">
        <v>45683</v>
      </c>
      <c r="G602" s="1">
        <v>45686</v>
      </c>
      <c r="H602" t="s">
        <v>8</v>
      </c>
      <c r="I602" t="s">
        <v>3</v>
      </c>
      <c r="J602">
        <v>5</v>
      </c>
      <c r="K602" t="s">
        <v>4</v>
      </c>
      <c r="L602" t="s">
        <v>18</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679</v>
      </c>
      <c r="B603" t="s">
        <v>27</v>
      </c>
      <c r="C603">
        <v>6</v>
      </c>
      <c r="D603">
        <v>81.599999999999994</v>
      </c>
      <c r="E603">
        <v>489.59999999999997</v>
      </c>
      <c r="F603" s="1">
        <v>45683</v>
      </c>
      <c r="G603" s="1">
        <v>45684</v>
      </c>
      <c r="H603" t="s">
        <v>12</v>
      </c>
      <c r="I603" t="s">
        <v>20</v>
      </c>
      <c r="J603">
        <v>3</v>
      </c>
      <c r="K603" t="s">
        <v>4</v>
      </c>
      <c r="L603" t="s">
        <v>349</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680</v>
      </c>
      <c r="B604" t="s">
        <v>7</v>
      </c>
      <c r="C604">
        <v>25</v>
      </c>
      <c r="D604">
        <v>58.3</v>
      </c>
      <c r="E604">
        <v>1457.5</v>
      </c>
      <c r="F604" s="1">
        <v>45683</v>
      </c>
      <c r="G604" s="1">
        <v>45684</v>
      </c>
      <c r="H604" t="s">
        <v>12</v>
      </c>
      <c r="I604" t="s">
        <v>3</v>
      </c>
      <c r="J604">
        <v>4</v>
      </c>
      <c r="K604" t="s">
        <v>4</v>
      </c>
      <c r="L604" t="s">
        <v>83</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681</v>
      </c>
      <c r="B605" t="s">
        <v>7</v>
      </c>
      <c r="C605">
        <v>4</v>
      </c>
      <c r="D605">
        <v>35.1</v>
      </c>
      <c r="E605">
        <v>140.4</v>
      </c>
      <c r="F605" s="1">
        <v>45683</v>
      </c>
      <c r="G605" s="1">
        <v>45685</v>
      </c>
      <c r="H605" t="s">
        <v>8</v>
      </c>
      <c r="I605" t="s">
        <v>3</v>
      </c>
      <c r="J605">
        <v>5</v>
      </c>
      <c r="K605" t="s">
        <v>4</v>
      </c>
      <c r="L605" t="s">
        <v>47</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682</v>
      </c>
      <c r="B606" t="s">
        <v>11</v>
      </c>
      <c r="C606">
        <v>1</v>
      </c>
      <c r="D606">
        <v>80.2</v>
      </c>
      <c r="E606">
        <v>80.2</v>
      </c>
      <c r="F606" s="1">
        <v>45683</v>
      </c>
      <c r="G606" s="1">
        <v>45684</v>
      </c>
      <c r="H606" t="s">
        <v>8</v>
      </c>
      <c r="I606" t="s">
        <v>36</v>
      </c>
      <c r="J606">
        <v>5</v>
      </c>
      <c r="K606" t="s">
        <v>4</v>
      </c>
      <c r="L606" t="s">
        <v>47</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683</v>
      </c>
      <c r="B607" t="s">
        <v>66</v>
      </c>
      <c r="C607">
        <v>3</v>
      </c>
      <c r="D607">
        <v>39.200000000000003</v>
      </c>
      <c r="E607">
        <v>117.60000000000001</v>
      </c>
      <c r="F607" s="1">
        <v>45683</v>
      </c>
      <c r="G607" s="1">
        <v>45685</v>
      </c>
      <c r="H607" t="s">
        <v>12</v>
      </c>
      <c r="I607" t="s">
        <v>20</v>
      </c>
      <c r="J607">
        <v>4</v>
      </c>
      <c r="K607" t="s">
        <v>4</v>
      </c>
      <c r="L607" t="s">
        <v>57</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684</v>
      </c>
      <c r="B608" t="s">
        <v>1</v>
      </c>
      <c r="C608">
        <v>2</v>
      </c>
      <c r="D608">
        <v>15.4</v>
      </c>
      <c r="E608">
        <v>30.8</v>
      </c>
      <c r="F608" s="1">
        <v>45683</v>
      </c>
      <c r="G608" s="1">
        <v>45683</v>
      </c>
      <c r="H608" t="s">
        <v>12</v>
      </c>
      <c r="I608" t="s">
        <v>36</v>
      </c>
      <c r="J608">
        <v>4</v>
      </c>
      <c r="K608" t="s">
        <v>4</v>
      </c>
      <c r="L608" t="s">
        <v>685</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686</v>
      </c>
      <c r="B609" t="s">
        <v>15</v>
      </c>
      <c r="C609">
        <v>3</v>
      </c>
      <c r="D609">
        <v>65.400000000000006</v>
      </c>
      <c r="E609">
        <v>196.20000000000002</v>
      </c>
      <c r="F609" s="1">
        <v>45683</v>
      </c>
      <c r="G609" s="1">
        <v>45686</v>
      </c>
      <c r="H609" t="s">
        <v>8</v>
      </c>
      <c r="I609" t="s">
        <v>36</v>
      </c>
      <c r="J609">
        <v>4</v>
      </c>
      <c r="K609" t="s">
        <v>4</v>
      </c>
      <c r="L609" t="s">
        <v>93</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687</v>
      </c>
      <c r="B610" t="s">
        <v>7</v>
      </c>
      <c r="C610">
        <v>8</v>
      </c>
      <c r="D610">
        <v>63.2</v>
      </c>
      <c r="E610">
        <v>505.6</v>
      </c>
      <c r="F610" s="1">
        <v>45683</v>
      </c>
      <c r="G610" s="1">
        <v>45685</v>
      </c>
      <c r="H610" t="s">
        <v>12</v>
      </c>
      <c r="I610" t="s">
        <v>20</v>
      </c>
      <c r="J610">
        <v>4</v>
      </c>
      <c r="K610" t="s">
        <v>4</v>
      </c>
      <c r="L610" t="s">
        <v>95</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688</v>
      </c>
      <c r="B611" t="s">
        <v>7</v>
      </c>
      <c r="C611">
        <v>6</v>
      </c>
      <c r="D611">
        <v>35.700000000000003</v>
      </c>
      <c r="E611">
        <v>214.20000000000002</v>
      </c>
      <c r="F611" s="1">
        <v>45683</v>
      </c>
      <c r="G611" s="1">
        <v>45687</v>
      </c>
      <c r="H611" t="s">
        <v>12</v>
      </c>
      <c r="I611" t="s">
        <v>55</v>
      </c>
      <c r="J611">
        <v>3</v>
      </c>
      <c r="K611" t="s">
        <v>4</v>
      </c>
      <c r="L611" t="s">
        <v>95</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689</v>
      </c>
      <c r="B612" t="s">
        <v>1</v>
      </c>
      <c r="C612">
        <v>20</v>
      </c>
      <c r="D612">
        <v>26.2</v>
      </c>
      <c r="E612">
        <v>524</v>
      </c>
      <c r="F612" s="1">
        <v>45683</v>
      </c>
      <c r="G612" s="1">
        <v>45684</v>
      </c>
      <c r="H612" t="s">
        <v>12</v>
      </c>
      <c r="I612" t="s">
        <v>36</v>
      </c>
      <c r="J612">
        <v>4</v>
      </c>
      <c r="K612" t="s">
        <v>4</v>
      </c>
      <c r="L612" t="s">
        <v>100</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690</v>
      </c>
      <c r="B613" t="s">
        <v>27</v>
      </c>
      <c r="C613">
        <v>2</v>
      </c>
      <c r="D613">
        <v>31</v>
      </c>
      <c r="E613">
        <v>62</v>
      </c>
      <c r="F613" s="1">
        <v>45683</v>
      </c>
      <c r="G613" s="1">
        <v>45684</v>
      </c>
      <c r="H613" t="s">
        <v>12</v>
      </c>
      <c r="I613" t="s">
        <v>3</v>
      </c>
      <c r="J613">
        <v>5</v>
      </c>
      <c r="K613" t="s">
        <v>4</v>
      </c>
      <c r="L613" t="s">
        <v>9</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691</v>
      </c>
      <c r="B614" t="s">
        <v>29</v>
      </c>
      <c r="C614">
        <v>4</v>
      </c>
      <c r="D614">
        <v>37.700000000000003</v>
      </c>
      <c r="E614">
        <v>150.80000000000001</v>
      </c>
      <c r="F614" s="1">
        <v>45683</v>
      </c>
      <c r="G614" s="1">
        <v>45684</v>
      </c>
      <c r="H614" t="s">
        <v>12</v>
      </c>
      <c r="I614" t="s">
        <v>20</v>
      </c>
      <c r="J614">
        <v>4</v>
      </c>
      <c r="K614" t="s">
        <v>4</v>
      </c>
      <c r="L614" t="s">
        <v>132</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692</v>
      </c>
      <c r="B615" t="s">
        <v>39</v>
      </c>
      <c r="C615">
        <v>34</v>
      </c>
      <c r="D615">
        <v>43.6</v>
      </c>
      <c r="E615">
        <v>1482.4</v>
      </c>
      <c r="F615" s="1">
        <v>45683</v>
      </c>
      <c r="G615" s="1">
        <v>45685</v>
      </c>
      <c r="H615" t="s">
        <v>12</v>
      </c>
      <c r="I615" t="s">
        <v>55</v>
      </c>
      <c r="J615">
        <v>3</v>
      </c>
      <c r="K615" t="s">
        <v>4</v>
      </c>
      <c r="L615" t="s">
        <v>18</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693</v>
      </c>
      <c r="B616" t="s">
        <v>31</v>
      </c>
      <c r="C616">
        <v>4</v>
      </c>
      <c r="D616">
        <v>26.5</v>
      </c>
      <c r="E616">
        <v>106</v>
      </c>
      <c r="F616" s="1">
        <v>45683</v>
      </c>
      <c r="G616" s="1">
        <v>45685</v>
      </c>
      <c r="H616" t="s">
        <v>8</v>
      </c>
      <c r="I616" t="s">
        <v>3</v>
      </c>
      <c r="J616">
        <v>2</v>
      </c>
      <c r="K616" t="s">
        <v>4</v>
      </c>
      <c r="L616" t="s">
        <v>18</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694</v>
      </c>
      <c r="B617" t="s">
        <v>1</v>
      </c>
      <c r="C617">
        <v>2</v>
      </c>
      <c r="D617">
        <v>34.6</v>
      </c>
      <c r="E617">
        <v>69.2</v>
      </c>
      <c r="F617" s="1">
        <v>45683</v>
      </c>
      <c r="G617" s="1">
        <v>45684</v>
      </c>
      <c r="H617" t="s">
        <v>8</v>
      </c>
      <c r="I617" t="s">
        <v>55</v>
      </c>
      <c r="J617">
        <v>3</v>
      </c>
      <c r="K617" t="s">
        <v>4</v>
      </c>
      <c r="L617" t="s">
        <v>18</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695</v>
      </c>
      <c r="B618" t="s">
        <v>29</v>
      </c>
      <c r="C618">
        <v>2</v>
      </c>
      <c r="D618">
        <v>58.2</v>
      </c>
      <c r="E618">
        <v>116.4</v>
      </c>
      <c r="F618" s="1">
        <v>45683</v>
      </c>
      <c r="G618" s="1">
        <v>45684</v>
      </c>
      <c r="H618" t="s">
        <v>8</v>
      </c>
      <c r="I618" t="s">
        <v>25</v>
      </c>
      <c r="J618">
        <v>5</v>
      </c>
      <c r="K618" t="s">
        <v>4</v>
      </c>
      <c r="L618" t="s">
        <v>18</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696</v>
      </c>
      <c r="B619" t="s">
        <v>27</v>
      </c>
      <c r="C619">
        <v>1</v>
      </c>
      <c r="D619">
        <v>30.2</v>
      </c>
      <c r="E619">
        <v>30.2</v>
      </c>
      <c r="F619" s="1">
        <v>45684</v>
      </c>
      <c r="G619" s="1">
        <v>45685</v>
      </c>
      <c r="H619" t="s">
        <v>12</v>
      </c>
      <c r="I619" t="s">
        <v>25</v>
      </c>
      <c r="J619">
        <v>3</v>
      </c>
      <c r="K619" t="s">
        <v>4</v>
      </c>
      <c r="L619" t="s">
        <v>18</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697</v>
      </c>
      <c r="B620" t="s">
        <v>7</v>
      </c>
      <c r="C620">
        <v>10</v>
      </c>
      <c r="D620">
        <v>53.2</v>
      </c>
      <c r="E620">
        <v>532</v>
      </c>
      <c r="F620" s="1">
        <v>45684</v>
      </c>
      <c r="G620" s="1">
        <v>45685</v>
      </c>
      <c r="H620" t="s">
        <v>8</v>
      </c>
      <c r="I620" t="s">
        <v>3</v>
      </c>
      <c r="J620">
        <v>5</v>
      </c>
      <c r="K620" t="s">
        <v>4</v>
      </c>
      <c r="L620" t="s">
        <v>37</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698</v>
      </c>
      <c r="B621" t="s">
        <v>54</v>
      </c>
      <c r="C621">
        <v>6</v>
      </c>
      <c r="D621">
        <v>51.1</v>
      </c>
      <c r="E621">
        <v>306.60000000000002</v>
      </c>
      <c r="F621" s="1">
        <v>45684</v>
      </c>
      <c r="G621" s="1">
        <v>45684</v>
      </c>
      <c r="H621" t="s">
        <v>8</v>
      </c>
      <c r="I621" t="s">
        <v>20</v>
      </c>
      <c r="J621">
        <v>5</v>
      </c>
      <c r="K621" t="s">
        <v>4</v>
      </c>
      <c r="L621" t="s">
        <v>37</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699</v>
      </c>
      <c r="B622" t="s">
        <v>7</v>
      </c>
      <c r="C622">
        <v>1</v>
      </c>
      <c r="D622">
        <v>105.4</v>
      </c>
      <c r="E622">
        <v>105.4</v>
      </c>
      <c r="F622" s="1">
        <v>45684</v>
      </c>
      <c r="G622" s="1">
        <v>45688</v>
      </c>
      <c r="H622" t="s">
        <v>12</v>
      </c>
      <c r="I622" t="s">
        <v>20</v>
      </c>
      <c r="J622">
        <v>5</v>
      </c>
      <c r="K622" t="s">
        <v>4</v>
      </c>
      <c r="L622" t="s">
        <v>143</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700</v>
      </c>
      <c r="B623" t="s">
        <v>27</v>
      </c>
      <c r="C623">
        <v>1</v>
      </c>
      <c r="D623">
        <v>57.7</v>
      </c>
      <c r="E623">
        <v>57.7</v>
      </c>
      <c r="F623" s="1">
        <v>45684</v>
      </c>
      <c r="G623" s="1">
        <v>45684</v>
      </c>
      <c r="H623" t="s">
        <v>8</v>
      </c>
      <c r="I623" t="s">
        <v>3</v>
      </c>
      <c r="J623">
        <v>2</v>
      </c>
      <c r="K623" t="s">
        <v>4</v>
      </c>
      <c r="L623" t="s">
        <v>47</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701</v>
      </c>
      <c r="B624" t="s">
        <v>108</v>
      </c>
      <c r="C624">
        <v>2</v>
      </c>
      <c r="D624">
        <v>72.400000000000006</v>
      </c>
      <c r="E624">
        <v>144.80000000000001</v>
      </c>
      <c r="F624" s="1">
        <v>45684</v>
      </c>
      <c r="G624" s="1">
        <v>45689</v>
      </c>
      <c r="H624" t="s">
        <v>12</v>
      </c>
      <c r="I624" t="s">
        <v>3</v>
      </c>
      <c r="J624">
        <v>4</v>
      </c>
      <c r="K624" t="s">
        <v>4</v>
      </c>
      <c r="L624" t="s">
        <v>88</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702</v>
      </c>
      <c r="B625" t="s">
        <v>24</v>
      </c>
      <c r="C625">
        <v>2</v>
      </c>
      <c r="D625">
        <v>62.5</v>
      </c>
      <c r="E625">
        <v>125</v>
      </c>
      <c r="F625" s="1">
        <v>45684</v>
      </c>
      <c r="G625" s="1">
        <v>45685</v>
      </c>
      <c r="H625" t="s">
        <v>2</v>
      </c>
      <c r="I625" t="s">
        <v>3</v>
      </c>
      <c r="J625">
        <v>5</v>
      </c>
      <c r="K625" t="s">
        <v>4</v>
      </c>
      <c r="L625" t="s">
        <v>62</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703</v>
      </c>
      <c r="B626" t="s">
        <v>1</v>
      </c>
      <c r="C626">
        <v>22</v>
      </c>
      <c r="D626">
        <v>11.6</v>
      </c>
      <c r="E626">
        <v>255.2</v>
      </c>
      <c r="F626" s="1">
        <v>45684</v>
      </c>
      <c r="G626" s="1">
        <v>45686</v>
      </c>
      <c r="H626" t="s">
        <v>12</v>
      </c>
      <c r="I626" t="s">
        <v>36</v>
      </c>
      <c r="J626">
        <v>5</v>
      </c>
      <c r="K626" t="s">
        <v>4</v>
      </c>
      <c r="L626" t="s">
        <v>93</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704</v>
      </c>
      <c r="B627" t="s">
        <v>39</v>
      </c>
      <c r="C627">
        <v>10</v>
      </c>
      <c r="D627">
        <v>39.6</v>
      </c>
      <c r="E627">
        <v>396</v>
      </c>
      <c r="F627" s="1">
        <v>45684</v>
      </c>
      <c r="G627" s="1">
        <v>45686</v>
      </c>
      <c r="H627" t="s">
        <v>12</v>
      </c>
      <c r="I627" t="s">
        <v>25</v>
      </c>
      <c r="J627">
        <v>5</v>
      </c>
      <c r="K627" t="s">
        <v>4</v>
      </c>
      <c r="L627" t="s">
        <v>93</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705</v>
      </c>
      <c r="B628" t="s">
        <v>29</v>
      </c>
      <c r="C628">
        <v>2</v>
      </c>
      <c r="D628">
        <v>40.1</v>
      </c>
      <c r="E628">
        <v>80.2</v>
      </c>
      <c r="F628" s="1">
        <v>45684</v>
      </c>
      <c r="G628" s="1">
        <v>45685</v>
      </c>
      <c r="H628" t="s">
        <v>12</v>
      </c>
      <c r="I628" t="s">
        <v>25</v>
      </c>
      <c r="J628">
        <v>4</v>
      </c>
      <c r="K628" t="s">
        <v>4</v>
      </c>
      <c r="L628" t="s">
        <v>93</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706</v>
      </c>
      <c r="B629" t="s">
        <v>29</v>
      </c>
      <c r="C629">
        <v>3</v>
      </c>
      <c r="D629">
        <v>18.600000000000001</v>
      </c>
      <c r="E629">
        <v>55.800000000000004</v>
      </c>
      <c r="F629" s="1">
        <v>45684</v>
      </c>
      <c r="G629" s="1">
        <v>45685</v>
      </c>
      <c r="H629" t="s">
        <v>12</v>
      </c>
      <c r="I629" t="s">
        <v>25</v>
      </c>
      <c r="J629">
        <v>4</v>
      </c>
      <c r="K629" t="s">
        <v>4</v>
      </c>
      <c r="L629" t="s">
        <v>100</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707</v>
      </c>
      <c r="B630" t="s">
        <v>17</v>
      </c>
      <c r="C630">
        <v>1</v>
      </c>
      <c r="D630">
        <v>58.8</v>
      </c>
      <c r="E630">
        <v>58.8</v>
      </c>
      <c r="F630" s="1">
        <v>45684</v>
      </c>
      <c r="G630" s="1">
        <v>45686</v>
      </c>
      <c r="H630" t="s">
        <v>12</v>
      </c>
      <c r="I630" t="s">
        <v>3</v>
      </c>
      <c r="J630">
        <v>3</v>
      </c>
      <c r="K630" t="s">
        <v>4</v>
      </c>
      <c r="L630" t="s">
        <v>100</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708</v>
      </c>
      <c r="B631" t="s">
        <v>29</v>
      </c>
      <c r="C631">
        <v>2</v>
      </c>
      <c r="D631">
        <v>22.1</v>
      </c>
      <c r="E631">
        <v>44.2</v>
      </c>
      <c r="F631" s="1">
        <v>45684</v>
      </c>
      <c r="G631" s="1">
        <v>45687</v>
      </c>
      <c r="H631" t="s">
        <v>8</v>
      </c>
      <c r="I631" t="s">
        <v>20</v>
      </c>
      <c r="J631">
        <v>5</v>
      </c>
      <c r="K631" t="s">
        <v>4</v>
      </c>
      <c r="L631" t="s">
        <v>100</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709</v>
      </c>
      <c r="B632" t="s">
        <v>11</v>
      </c>
      <c r="C632">
        <v>1</v>
      </c>
      <c r="D632">
        <v>114.9</v>
      </c>
      <c r="E632">
        <v>114.9</v>
      </c>
      <c r="F632" s="1">
        <v>45685</v>
      </c>
      <c r="G632" s="1">
        <v>45686</v>
      </c>
      <c r="H632" t="s">
        <v>12</v>
      </c>
      <c r="I632" t="s">
        <v>20</v>
      </c>
      <c r="J632">
        <v>3</v>
      </c>
      <c r="K632" t="s">
        <v>4</v>
      </c>
      <c r="L632" t="s">
        <v>132</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710</v>
      </c>
      <c r="B633" t="s">
        <v>31</v>
      </c>
      <c r="C633">
        <v>5</v>
      </c>
      <c r="D633">
        <v>75.8</v>
      </c>
      <c r="E633">
        <v>379</v>
      </c>
      <c r="F633" s="1">
        <v>45685</v>
      </c>
      <c r="G633" s="1">
        <v>45686</v>
      </c>
      <c r="H633" t="s">
        <v>8</v>
      </c>
      <c r="I633" t="s">
        <v>3</v>
      </c>
      <c r="J633">
        <v>5</v>
      </c>
      <c r="K633" t="s">
        <v>4</v>
      </c>
      <c r="L633" t="s">
        <v>18</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711</v>
      </c>
      <c r="B634" t="s">
        <v>66</v>
      </c>
      <c r="C634">
        <v>5</v>
      </c>
      <c r="D634">
        <v>20.6</v>
      </c>
      <c r="E634">
        <v>103</v>
      </c>
      <c r="F634" s="1">
        <v>45685</v>
      </c>
      <c r="G634" s="1">
        <v>45686</v>
      </c>
      <c r="H634" t="s">
        <v>8</v>
      </c>
      <c r="I634" t="s">
        <v>25</v>
      </c>
      <c r="J634">
        <v>5</v>
      </c>
      <c r="K634" t="s">
        <v>4</v>
      </c>
      <c r="L634" t="s">
        <v>18</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712</v>
      </c>
      <c r="B635" t="s">
        <v>120</v>
      </c>
      <c r="C635">
        <v>3</v>
      </c>
      <c r="D635">
        <v>67.900000000000006</v>
      </c>
      <c r="E635">
        <v>203.70000000000002</v>
      </c>
      <c r="F635" s="1">
        <v>45685</v>
      </c>
      <c r="G635" s="1">
        <v>45686</v>
      </c>
      <c r="H635" t="s">
        <v>12</v>
      </c>
      <c r="I635" t="s">
        <v>20</v>
      </c>
      <c r="J635">
        <v>3</v>
      </c>
      <c r="K635" t="s">
        <v>4</v>
      </c>
      <c r="L635" t="s">
        <v>18</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713</v>
      </c>
      <c r="B636" t="s">
        <v>1</v>
      </c>
      <c r="C636">
        <v>5</v>
      </c>
      <c r="D636">
        <v>27</v>
      </c>
      <c r="E636">
        <v>135</v>
      </c>
      <c r="F636" s="1">
        <v>45685</v>
      </c>
      <c r="G636" s="1">
        <v>45692</v>
      </c>
      <c r="H636" t="s">
        <v>12</v>
      </c>
      <c r="I636" t="s">
        <v>3</v>
      </c>
      <c r="J636">
        <v>5</v>
      </c>
      <c r="K636" t="s">
        <v>4</v>
      </c>
      <c r="L636" t="s">
        <v>18</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714</v>
      </c>
      <c r="B637" t="s">
        <v>61</v>
      </c>
      <c r="C637">
        <v>1</v>
      </c>
      <c r="D637">
        <v>50.6</v>
      </c>
      <c r="E637">
        <v>50.6</v>
      </c>
      <c r="F637" s="1">
        <v>45685</v>
      </c>
      <c r="G637" s="1">
        <v>45685</v>
      </c>
      <c r="H637" t="s">
        <v>8</v>
      </c>
      <c r="I637" t="s">
        <v>3</v>
      </c>
      <c r="J637">
        <v>3</v>
      </c>
      <c r="K637" t="s">
        <v>4</v>
      </c>
      <c r="L637" t="s">
        <v>18</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715</v>
      </c>
      <c r="B638" t="s">
        <v>17</v>
      </c>
      <c r="C638">
        <v>5</v>
      </c>
      <c r="D638">
        <v>22.1</v>
      </c>
      <c r="E638">
        <v>110.5</v>
      </c>
      <c r="F638" s="1">
        <v>45685</v>
      </c>
      <c r="G638" s="1">
        <v>45690</v>
      </c>
      <c r="H638" t="s">
        <v>8</v>
      </c>
      <c r="I638" t="s">
        <v>3</v>
      </c>
      <c r="J638">
        <v>4</v>
      </c>
      <c r="K638" t="s">
        <v>4</v>
      </c>
      <c r="L638" t="s">
        <v>18</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716</v>
      </c>
      <c r="B639" t="s">
        <v>29</v>
      </c>
      <c r="C639">
        <v>3</v>
      </c>
      <c r="D639">
        <v>42.9</v>
      </c>
      <c r="E639">
        <v>128.69999999999999</v>
      </c>
      <c r="F639" s="1">
        <v>45685</v>
      </c>
      <c r="G639" s="1">
        <v>45687</v>
      </c>
      <c r="H639" t="s">
        <v>12</v>
      </c>
      <c r="I639" t="s">
        <v>3</v>
      </c>
      <c r="J639">
        <v>4</v>
      </c>
      <c r="K639" t="s">
        <v>4</v>
      </c>
      <c r="L639" t="s">
        <v>18</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717</v>
      </c>
      <c r="B640" t="s">
        <v>7</v>
      </c>
      <c r="C640">
        <v>11</v>
      </c>
      <c r="D640">
        <v>62.4</v>
      </c>
      <c r="E640">
        <v>686.4</v>
      </c>
      <c r="F640" s="1">
        <v>45685</v>
      </c>
      <c r="G640" s="1">
        <v>45687</v>
      </c>
      <c r="H640" t="s">
        <v>12</v>
      </c>
      <c r="I640" t="s">
        <v>25</v>
      </c>
      <c r="J640">
        <v>4</v>
      </c>
      <c r="K640" t="s">
        <v>4</v>
      </c>
      <c r="L640" t="s">
        <v>18</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718</v>
      </c>
      <c r="B641" t="s">
        <v>61</v>
      </c>
      <c r="C641">
        <v>9</v>
      </c>
      <c r="D641">
        <v>36.4</v>
      </c>
      <c r="E641">
        <v>327.59999999999997</v>
      </c>
      <c r="F641" s="1">
        <v>45685</v>
      </c>
      <c r="G641" s="1">
        <v>45687</v>
      </c>
      <c r="H641" t="s">
        <v>12</v>
      </c>
      <c r="I641" t="s">
        <v>3</v>
      </c>
      <c r="J641">
        <v>5</v>
      </c>
      <c r="K641" t="s">
        <v>4</v>
      </c>
      <c r="L641" t="s">
        <v>18</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719</v>
      </c>
      <c r="B642" t="s">
        <v>1</v>
      </c>
      <c r="C642">
        <v>2</v>
      </c>
      <c r="D642">
        <v>22.5</v>
      </c>
      <c r="E642">
        <v>45</v>
      </c>
      <c r="F642" s="1">
        <v>45685</v>
      </c>
      <c r="G642" s="1">
        <v>45688</v>
      </c>
      <c r="H642" t="s">
        <v>8</v>
      </c>
      <c r="I642" t="s">
        <v>3</v>
      </c>
      <c r="J642">
        <v>4</v>
      </c>
      <c r="K642" t="s">
        <v>4</v>
      </c>
      <c r="L642" t="s">
        <v>18</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720</v>
      </c>
      <c r="B643" t="s">
        <v>24</v>
      </c>
      <c r="C643">
        <v>4</v>
      </c>
      <c r="D643">
        <v>70.8</v>
      </c>
      <c r="E643">
        <v>283.2</v>
      </c>
      <c r="F643" s="1">
        <v>45685</v>
      </c>
      <c r="G643" s="1">
        <v>45687</v>
      </c>
      <c r="H643" t="s">
        <v>12</v>
      </c>
      <c r="I643" t="s">
        <v>55</v>
      </c>
      <c r="J643">
        <v>4</v>
      </c>
      <c r="K643" t="s">
        <v>4</v>
      </c>
      <c r="L643" t="s">
        <v>18</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721</v>
      </c>
      <c r="B644" t="s">
        <v>24</v>
      </c>
      <c r="C644">
        <v>5</v>
      </c>
      <c r="D644">
        <v>56.6</v>
      </c>
      <c r="E644">
        <v>283</v>
      </c>
      <c r="F644" s="1">
        <v>45685</v>
      </c>
      <c r="G644" s="1">
        <v>45687</v>
      </c>
      <c r="H644" t="s">
        <v>8</v>
      </c>
      <c r="I644" t="s">
        <v>3</v>
      </c>
      <c r="J644">
        <v>3</v>
      </c>
      <c r="K644" t="s">
        <v>4</v>
      </c>
      <c r="L644" t="s">
        <v>34</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722</v>
      </c>
      <c r="B645" t="s">
        <v>24</v>
      </c>
      <c r="C645">
        <v>2</v>
      </c>
      <c r="D645">
        <v>47.9</v>
      </c>
      <c r="E645">
        <v>95.8</v>
      </c>
      <c r="F645" s="1">
        <v>45685</v>
      </c>
      <c r="G645" s="1">
        <v>45686</v>
      </c>
      <c r="H645" t="s">
        <v>12</v>
      </c>
      <c r="I645" t="s">
        <v>3</v>
      </c>
      <c r="J645">
        <v>4</v>
      </c>
      <c r="K645" t="s">
        <v>4</v>
      </c>
      <c r="L645" t="s">
        <v>40</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723</v>
      </c>
      <c r="B646" t="s">
        <v>24</v>
      </c>
      <c r="C646">
        <v>8</v>
      </c>
      <c r="D646">
        <v>78.400000000000006</v>
      </c>
      <c r="E646">
        <v>627.20000000000005</v>
      </c>
      <c r="F646" s="1">
        <v>45685</v>
      </c>
      <c r="G646" s="1">
        <v>45687</v>
      </c>
      <c r="H646" t="s">
        <v>12</v>
      </c>
      <c r="I646" t="s">
        <v>20</v>
      </c>
      <c r="J646">
        <v>4</v>
      </c>
      <c r="K646" t="s">
        <v>4</v>
      </c>
      <c r="L646" t="s">
        <v>40</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724</v>
      </c>
      <c r="B647" t="s">
        <v>11</v>
      </c>
      <c r="C647">
        <v>14</v>
      </c>
      <c r="D647">
        <v>122.1</v>
      </c>
      <c r="E647">
        <v>1709.3999999999999</v>
      </c>
      <c r="F647" s="1">
        <v>45685</v>
      </c>
      <c r="G647" s="1">
        <v>45690</v>
      </c>
      <c r="H647" t="s">
        <v>12</v>
      </c>
      <c r="I647" t="s">
        <v>3</v>
      </c>
      <c r="J647">
        <v>5</v>
      </c>
      <c r="K647" t="s">
        <v>4</v>
      </c>
      <c r="L647" t="s">
        <v>40</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725</v>
      </c>
      <c r="B648" t="s">
        <v>11</v>
      </c>
      <c r="C648">
        <v>2</v>
      </c>
      <c r="D648">
        <v>83.7</v>
      </c>
      <c r="E648">
        <v>167.4</v>
      </c>
      <c r="F648" s="1">
        <v>45686</v>
      </c>
      <c r="G648" s="1">
        <v>45686</v>
      </c>
      <c r="H648" t="s">
        <v>2</v>
      </c>
      <c r="I648" t="s">
        <v>20</v>
      </c>
      <c r="J648">
        <v>5</v>
      </c>
      <c r="K648" t="s">
        <v>4</v>
      </c>
      <c r="L648" t="s">
        <v>44</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726</v>
      </c>
      <c r="B649" t="s">
        <v>15</v>
      </c>
      <c r="C649">
        <v>4</v>
      </c>
      <c r="D649">
        <v>97.9</v>
      </c>
      <c r="E649">
        <v>391.6</v>
      </c>
      <c r="F649" s="1">
        <v>45686</v>
      </c>
      <c r="G649" s="1">
        <v>45690</v>
      </c>
      <c r="H649" t="s">
        <v>12</v>
      </c>
      <c r="I649" t="s">
        <v>36</v>
      </c>
      <c r="J649">
        <v>5</v>
      </c>
      <c r="K649" t="s">
        <v>4</v>
      </c>
      <c r="L649" t="s">
        <v>44</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727</v>
      </c>
      <c r="B650" t="s">
        <v>66</v>
      </c>
      <c r="C650">
        <v>1</v>
      </c>
      <c r="D650">
        <v>15</v>
      </c>
      <c r="E650">
        <v>15</v>
      </c>
      <c r="F650" s="1">
        <v>45686</v>
      </c>
      <c r="G650" s="1">
        <v>45691</v>
      </c>
      <c r="H650" t="s">
        <v>12</v>
      </c>
      <c r="I650" t="s">
        <v>36</v>
      </c>
      <c r="J650">
        <v>4</v>
      </c>
      <c r="K650" t="s">
        <v>4</v>
      </c>
      <c r="L650" t="s">
        <v>47</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728</v>
      </c>
      <c r="B651" t="s">
        <v>54</v>
      </c>
      <c r="C651">
        <v>3</v>
      </c>
      <c r="D651">
        <v>94.6</v>
      </c>
      <c r="E651">
        <v>283.79999999999995</v>
      </c>
      <c r="F651" s="1">
        <v>45686</v>
      </c>
      <c r="G651" s="1">
        <v>45687</v>
      </c>
      <c r="H651" t="s">
        <v>8</v>
      </c>
      <c r="I651" t="s">
        <v>25</v>
      </c>
      <c r="J651">
        <v>3</v>
      </c>
      <c r="K651" t="s">
        <v>4</v>
      </c>
      <c r="L651" t="s">
        <v>47</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729</v>
      </c>
      <c r="B652" t="s">
        <v>1</v>
      </c>
      <c r="C652">
        <v>6</v>
      </c>
      <c r="D652">
        <v>19.7</v>
      </c>
      <c r="E652">
        <v>118.19999999999999</v>
      </c>
      <c r="F652" s="1">
        <v>45686</v>
      </c>
      <c r="G652" s="1">
        <v>45697</v>
      </c>
      <c r="H652" t="s">
        <v>12</v>
      </c>
      <c r="I652" t="s">
        <v>3</v>
      </c>
      <c r="J652">
        <v>5</v>
      </c>
      <c r="K652" t="s">
        <v>4</v>
      </c>
      <c r="L652" t="s">
        <v>47</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730</v>
      </c>
      <c r="B653" t="s">
        <v>27</v>
      </c>
      <c r="C653">
        <v>1</v>
      </c>
      <c r="D653">
        <v>46.7</v>
      </c>
      <c r="E653">
        <v>46.7</v>
      </c>
      <c r="F653" s="1">
        <v>45686</v>
      </c>
      <c r="G653" s="1">
        <v>45689</v>
      </c>
      <c r="H653" t="s">
        <v>12</v>
      </c>
      <c r="I653" t="s">
        <v>25</v>
      </c>
      <c r="J653">
        <v>4</v>
      </c>
      <c r="K653" t="s">
        <v>4</v>
      </c>
      <c r="L653" t="s">
        <v>88</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731</v>
      </c>
      <c r="B654" t="s">
        <v>7</v>
      </c>
      <c r="C654">
        <v>4</v>
      </c>
      <c r="D654">
        <v>43</v>
      </c>
      <c r="E654">
        <v>172</v>
      </c>
      <c r="F654" s="1">
        <v>45686</v>
      </c>
      <c r="G654" s="1">
        <v>45687</v>
      </c>
      <c r="H654" t="s">
        <v>8</v>
      </c>
      <c r="I654" t="s">
        <v>25</v>
      </c>
      <c r="J654">
        <v>5</v>
      </c>
      <c r="K654" t="s">
        <v>4</v>
      </c>
      <c r="L654" t="s">
        <v>88</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732</v>
      </c>
      <c r="B655" t="s">
        <v>24</v>
      </c>
      <c r="C655">
        <v>3</v>
      </c>
      <c r="D655">
        <v>68.2</v>
      </c>
      <c r="E655">
        <v>204.60000000000002</v>
      </c>
      <c r="F655" s="1">
        <v>45686</v>
      </c>
      <c r="G655" s="1">
        <v>45692</v>
      </c>
      <c r="H655" t="s">
        <v>12</v>
      </c>
      <c r="I655" t="s">
        <v>3</v>
      </c>
      <c r="J655">
        <v>4</v>
      </c>
      <c r="K655" t="s">
        <v>4</v>
      </c>
      <c r="L655" t="s">
        <v>57</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733</v>
      </c>
      <c r="B656" t="s">
        <v>39</v>
      </c>
      <c r="C656">
        <v>10</v>
      </c>
      <c r="D656">
        <v>24.3</v>
      </c>
      <c r="E656">
        <v>243</v>
      </c>
      <c r="F656" s="1">
        <v>45686</v>
      </c>
      <c r="G656" s="1">
        <v>45687</v>
      </c>
      <c r="H656" t="s">
        <v>8</v>
      </c>
      <c r="I656" t="s">
        <v>3</v>
      </c>
      <c r="J656">
        <v>5</v>
      </c>
      <c r="K656" t="s">
        <v>4</v>
      </c>
      <c r="L656" t="s">
        <v>59</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734</v>
      </c>
      <c r="B657" t="s">
        <v>27</v>
      </c>
      <c r="C657">
        <v>2</v>
      </c>
      <c r="D657">
        <v>86.8</v>
      </c>
      <c r="E657">
        <v>173.6</v>
      </c>
      <c r="F657" s="1">
        <v>45686</v>
      </c>
      <c r="G657" s="1">
        <v>45690</v>
      </c>
      <c r="H657" t="s">
        <v>12</v>
      </c>
      <c r="I657" t="s">
        <v>55</v>
      </c>
      <c r="J657">
        <v>5</v>
      </c>
      <c r="K657" t="s">
        <v>4</v>
      </c>
      <c r="L657" t="s">
        <v>62</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735</v>
      </c>
      <c r="B658" t="s">
        <v>1</v>
      </c>
      <c r="C658">
        <v>2</v>
      </c>
      <c r="D658">
        <v>15.8</v>
      </c>
      <c r="E658">
        <v>31.6</v>
      </c>
      <c r="F658" s="1">
        <v>45686</v>
      </c>
      <c r="G658" s="1">
        <v>45688</v>
      </c>
      <c r="H658" t="s">
        <v>8</v>
      </c>
      <c r="I658" t="s">
        <v>20</v>
      </c>
      <c r="J658">
        <v>4</v>
      </c>
      <c r="K658" t="s">
        <v>4</v>
      </c>
      <c r="L658" t="s">
        <v>62</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736</v>
      </c>
      <c r="B659" t="s">
        <v>11</v>
      </c>
      <c r="C659">
        <v>4</v>
      </c>
      <c r="D659">
        <v>61.6</v>
      </c>
      <c r="E659">
        <v>246.4</v>
      </c>
      <c r="F659" s="1">
        <v>45686</v>
      </c>
      <c r="G659" s="1">
        <v>45687</v>
      </c>
      <c r="H659" t="s">
        <v>8</v>
      </c>
      <c r="I659" t="s">
        <v>25</v>
      </c>
      <c r="J659">
        <v>4</v>
      </c>
      <c r="K659" t="s">
        <v>4</v>
      </c>
      <c r="L659" t="s">
        <v>62</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737</v>
      </c>
      <c r="B660" t="s">
        <v>24</v>
      </c>
      <c r="C660">
        <v>3</v>
      </c>
      <c r="D660">
        <v>48.7</v>
      </c>
      <c r="E660">
        <v>146.10000000000002</v>
      </c>
      <c r="F660" s="1">
        <v>45686</v>
      </c>
      <c r="G660" s="1">
        <v>45692</v>
      </c>
      <c r="H660" t="s">
        <v>12</v>
      </c>
      <c r="I660" t="s">
        <v>20</v>
      </c>
      <c r="J660">
        <v>5</v>
      </c>
      <c r="K660" t="s">
        <v>4</v>
      </c>
      <c r="L660" t="s">
        <v>593</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738</v>
      </c>
      <c r="B661" t="s">
        <v>29</v>
      </c>
      <c r="C661">
        <v>4</v>
      </c>
      <c r="D661">
        <v>24.3</v>
      </c>
      <c r="E661">
        <v>97.2</v>
      </c>
      <c r="F661" s="1">
        <v>45686</v>
      </c>
      <c r="G661" s="1">
        <v>45688</v>
      </c>
      <c r="H661" t="s">
        <v>12</v>
      </c>
      <c r="I661" t="s">
        <v>20</v>
      </c>
      <c r="J661">
        <v>5</v>
      </c>
      <c r="K661" t="s">
        <v>4</v>
      </c>
      <c r="L661" t="s">
        <v>100</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739</v>
      </c>
      <c r="B662" t="s">
        <v>11</v>
      </c>
      <c r="C662">
        <v>2</v>
      </c>
      <c r="D662">
        <v>130.69999999999999</v>
      </c>
      <c r="E662">
        <v>261.39999999999998</v>
      </c>
      <c r="F662" s="1">
        <v>45686</v>
      </c>
      <c r="G662" s="1">
        <v>45687</v>
      </c>
      <c r="H662" t="s">
        <v>12</v>
      </c>
      <c r="I662" t="s">
        <v>25</v>
      </c>
      <c r="J662">
        <v>4</v>
      </c>
      <c r="K662" t="s">
        <v>4</v>
      </c>
      <c r="L662" t="s">
        <v>572</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740</v>
      </c>
      <c r="B663" t="s">
        <v>39</v>
      </c>
      <c r="C663">
        <v>1</v>
      </c>
      <c r="D663">
        <v>26</v>
      </c>
      <c r="E663">
        <v>26</v>
      </c>
      <c r="F663" s="1">
        <v>45686</v>
      </c>
      <c r="G663" s="1">
        <v>45688</v>
      </c>
      <c r="H663" t="s">
        <v>8</v>
      </c>
      <c r="I663" t="s">
        <v>3</v>
      </c>
      <c r="J663">
        <v>4</v>
      </c>
      <c r="K663" t="s">
        <v>4</v>
      </c>
      <c r="L663" t="s">
        <v>18</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741</v>
      </c>
      <c r="B664" t="s">
        <v>11</v>
      </c>
      <c r="C664">
        <v>5</v>
      </c>
      <c r="D664">
        <v>94.4</v>
      </c>
      <c r="E664">
        <v>472</v>
      </c>
      <c r="F664" s="1">
        <v>45686</v>
      </c>
      <c r="G664" s="1">
        <v>45687</v>
      </c>
      <c r="H664" t="s">
        <v>12</v>
      </c>
      <c r="I664" t="s">
        <v>3</v>
      </c>
      <c r="J664">
        <v>4</v>
      </c>
      <c r="K664" t="s">
        <v>4</v>
      </c>
      <c r="L664" t="s">
        <v>18</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742</v>
      </c>
      <c r="B665" t="s">
        <v>1</v>
      </c>
      <c r="C665">
        <v>6</v>
      </c>
      <c r="D665">
        <v>23.7</v>
      </c>
      <c r="E665">
        <v>142.19999999999999</v>
      </c>
      <c r="F665" s="1">
        <v>45686</v>
      </c>
      <c r="G665" s="1">
        <v>45688</v>
      </c>
      <c r="H665" t="s">
        <v>8</v>
      </c>
      <c r="I665" t="s">
        <v>25</v>
      </c>
      <c r="J665">
        <v>5</v>
      </c>
      <c r="K665" t="s">
        <v>4</v>
      </c>
      <c r="L665" t="s">
        <v>18</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743</v>
      </c>
      <c r="B666" t="s">
        <v>31</v>
      </c>
      <c r="C666">
        <v>12</v>
      </c>
      <c r="D666">
        <v>37.4</v>
      </c>
      <c r="E666">
        <v>448.79999999999995</v>
      </c>
      <c r="F666" s="1">
        <v>45686</v>
      </c>
      <c r="G666" s="1">
        <v>45688</v>
      </c>
      <c r="H666" t="s">
        <v>8</v>
      </c>
      <c r="I666" t="s">
        <v>25</v>
      </c>
      <c r="J666">
        <v>4</v>
      </c>
      <c r="K666" t="s">
        <v>4</v>
      </c>
      <c r="L666" t="s">
        <v>18</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744</v>
      </c>
      <c r="B667" t="s">
        <v>7</v>
      </c>
      <c r="C667">
        <v>36</v>
      </c>
      <c r="D667">
        <v>55.2</v>
      </c>
      <c r="E667">
        <v>1987.2</v>
      </c>
      <c r="F667" s="1">
        <v>45686</v>
      </c>
      <c r="G667" s="1">
        <v>45686</v>
      </c>
      <c r="H667" t="s">
        <v>12</v>
      </c>
      <c r="I667" t="s">
        <v>36</v>
      </c>
      <c r="J667">
        <v>3</v>
      </c>
      <c r="K667" t="s">
        <v>4</v>
      </c>
      <c r="L667" t="s">
        <v>18</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745</v>
      </c>
      <c r="B668" t="s">
        <v>11</v>
      </c>
      <c r="C668">
        <v>9</v>
      </c>
      <c r="D668">
        <v>57.1</v>
      </c>
      <c r="E668">
        <v>513.9</v>
      </c>
      <c r="F668" s="1">
        <v>45686</v>
      </c>
      <c r="G668" s="1">
        <v>45688</v>
      </c>
      <c r="H668" t="s">
        <v>8</v>
      </c>
      <c r="I668" t="s">
        <v>3</v>
      </c>
      <c r="J668">
        <v>5</v>
      </c>
      <c r="K668" t="s">
        <v>4</v>
      </c>
      <c r="L668" t="s">
        <v>18</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746</v>
      </c>
      <c r="B669" t="s">
        <v>54</v>
      </c>
      <c r="C669">
        <v>1</v>
      </c>
      <c r="D669">
        <v>55.3</v>
      </c>
      <c r="E669">
        <v>55.3</v>
      </c>
      <c r="F669" s="1">
        <v>45686</v>
      </c>
      <c r="G669" s="1">
        <v>45687</v>
      </c>
      <c r="H669" t="s">
        <v>12</v>
      </c>
      <c r="I669" t="s">
        <v>25</v>
      </c>
      <c r="J669">
        <v>5</v>
      </c>
      <c r="K669" t="s">
        <v>4</v>
      </c>
      <c r="L669" t="s">
        <v>18</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747</v>
      </c>
      <c r="B670" t="s">
        <v>108</v>
      </c>
      <c r="C670">
        <v>7</v>
      </c>
      <c r="D670">
        <v>23.9</v>
      </c>
      <c r="E670">
        <v>167.29999999999998</v>
      </c>
      <c r="F670" s="1">
        <v>45686</v>
      </c>
      <c r="G670" s="1">
        <v>45687</v>
      </c>
      <c r="H670" t="s">
        <v>12</v>
      </c>
      <c r="I670" t="s">
        <v>55</v>
      </c>
      <c r="J670">
        <v>3</v>
      </c>
      <c r="K670" t="s">
        <v>4</v>
      </c>
      <c r="L670" t="s">
        <v>18</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748</v>
      </c>
      <c r="B671" t="s">
        <v>1</v>
      </c>
      <c r="C671">
        <v>1</v>
      </c>
      <c r="D671">
        <v>34.1</v>
      </c>
      <c r="E671">
        <v>34.1</v>
      </c>
      <c r="F671" s="1">
        <v>45686</v>
      </c>
      <c r="G671" s="1">
        <v>45693</v>
      </c>
      <c r="H671" t="s">
        <v>12</v>
      </c>
      <c r="I671" t="s">
        <v>25</v>
      </c>
      <c r="J671">
        <v>4</v>
      </c>
      <c r="K671" t="s">
        <v>4</v>
      </c>
      <c r="L671" t="s">
        <v>18</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749</v>
      </c>
      <c r="B672" t="s">
        <v>54</v>
      </c>
      <c r="C672">
        <v>4</v>
      </c>
      <c r="D672">
        <v>38.5</v>
      </c>
      <c r="E672">
        <v>154</v>
      </c>
      <c r="F672" s="1">
        <v>45686</v>
      </c>
      <c r="G672" s="1">
        <v>45697</v>
      </c>
      <c r="H672" t="s">
        <v>12</v>
      </c>
      <c r="I672" t="s">
        <v>3</v>
      </c>
      <c r="J672">
        <v>4</v>
      </c>
      <c r="K672" t="s">
        <v>4</v>
      </c>
      <c r="L672" t="s">
        <v>18</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750</v>
      </c>
      <c r="B673" t="s">
        <v>27</v>
      </c>
      <c r="C673">
        <v>2</v>
      </c>
      <c r="D673">
        <v>105</v>
      </c>
      <c r="E673">
        <v>210</v>
      </c>
      <c r="F673" s="1">
        <v>45686</v>
      </c>
      <c r="G673" s="1">
        <v>45692</v>
      </c>
      <c r="H673" t="s">
        <v>12</v>
      </c>
      <c r="I673" t="s">
        <v>3</v>
      </c>
      <c r="J673">
        <v>5</v>
      </c>
      <c r="K673" t="s">
        <v>4</v>
      </c>
      <c r="L673" t="s">
        <v>18</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751</v>
      </c>
      <c r="B674" t="s">
        <v>29</v>
      </c>
      <c r="C674">
        <v>5</v>
      </c>
      <c r="D674">
        <v>45.2</v>
      </c>
      <c r="E674">
        <v>226</v>
      </c>
      <c r="F674" s="1">
        <v>45686</v>
      </c>
      <c r="G674" s="1">
        <v>45688</v>
      </c>
      <c r="H674" t="s">
        <v>12</v>
      </c>
      <c r="I674" t="s">
        <v>3</v>
      </c>
      <c r="J674">
        <v>5</v>
      </c>
      <c r="K674" t="s">
        <v>4</v>
      </c>
      <c r="L674" t="s">
        <v>18</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752</v>
      </c>
      <c r="B675" t="s">
        <v>120</v>
      </c>
      <c r="C675">
        <v>3</v>
      </c>
      <c r="D675">
        <v>24.8</v>
      </c>
      <c r="E675">
        <v>74.400000000000006</v>
      </c>
      <c r="F675" s="1">
        <v>45686</v>
      </c>
      <c r="G675" s="1">
        <v>45686</v>
      </c>
      <c r="H675" t="s">
        <v>2</v>
      </c>
      <c r="I675" t="s">
        <v>3</v>
      </c>
      <c r="J675">
        <v>3</v>
      </c>
      <c r="K675" t="s">
        <v>4</v>
      </c>
      <c r="L675" t="s">
        <v>18</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753</v>
      </c>
      <c r="B676" t="s">
        <v>52</v>
      </c>
      <c r="C676">
        <v>4</v>
      </c>
      <c r="D676">
        <v>43.8</v>
      </c>
      <c r="E676">
        <v>175.2</v>
      </c>
      <c r="F676" s="1">
        <v>45686</v>
      </c>
      <c r="G676" s="1">
        <v>45693</v>
      </c>
      <c r="H676" t="s">
        <v>12</v>
      </c>
      <c r="I676" t="s">
        <v>20</v>
      </c>
      <c r="J676">
        <v>5</v>
      </c>
      <c r="K676" t="s">
        <v>4</v>
      </c>
      <c r="L676" t="s">
        <v>40</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754</v>
      </c>
      <c r="B677" t="s">
        <v>7</v>
      </c>
      <c r="C677">
        <v>1</v>
      </c>
      <c r="D677">
        <v>75</v>
      </c>
      <c r="E677">
        <v>75</v>
      </c>
      <c r="F677" s="1">
        <v>45686</v>
      </c>
      <c r="G677" s="1">
        <v>45688</v>
      </c>
      <c r="H677" t="s">
        <v>12</v>
      </c>
      <c r="I677" t="s">
        <v>55</v>
      </c>
      <c r="J677">
        <v>3</v>
      </c>
      <c r="K677" t="s">
        <v>4</v>
      </c>
      <c r="L677" t="s">
        <v>40</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755</v>
      </c>
      <c r="B678" t="s">
        <v>11</v>
      </c>
      <c r="C678">
        <v>1</v>
      </c>
      <c r="D678">
        <v>169.9</v>
      </c>
      <c r="E678">
        <v>169.9</v>
      </c>
      <c r="F678" s="1">
        <v>45686</v>
      </c>
      <c r="G678" s="1">
        <v>45687</v>
      </c>
      <c r="H678" t="s">
        <v>8</v>
      </c>
      <c r="I678" t="s">
        <v>25</v>
      </c>
      <c r="J678">
        <v>4</v>
      </c>
      <c r="K678" t="s">
        <v>4</v>
      </c>
      <c r="L678" t="s">
        <v>40</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756</v>
      </c>
      <c r="B679" t="s">
        <v>31</v>
      </c>
      <c r="C679">
        <v>2</v>
      </c>
      <c r="D679">
        <v>72.2</v>
      </c>
      <c r="E679">
        <v>144.4</v>
      </c>
      <c r="F679" s="1">
        <v>45686</v>
      </c>
      <c r="G679" s="1">
        <v>45688</v>
      </c>
      <c r="H679" t="s">
        <v>12</v>
      </c>
      <c r="I679" t="s">
        <v>55</v>
      </c>
      <c r="J679">
        <v>3</v>
      </c>
      <c r="K679" t="s">
        <v>4</v>
      </c>
      <c r="L679" t="s">
        <v>40</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757</v>
      </c>
      <c r="B680" t="s">
        <v>1</v>
      </c>
      <c r="C680">
        <v>1</v>
      </c>
      <c r="D680">
        <v>20</v>
      </c>
      <c r="E680">
        <v>20</v>
      </c>
      <c r="F680" s="1">
        <v>45687</v>
      </c>
      <c r="G680" s="1">
        <v>45690</v>
      </c>
      <c r="H680" t="s">
        <v>12</v>
      </c>
      <c r="I680" t="s">
        <v>25</v>
      </c>
      <c r="J680">
        <v>3</v>
      </c>
      <c r="K680" t="s">
        <v>4</v>
      </c>
      <c r="L680" t="s">
        <v>44</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758</v>
      </c>
      <c r="B681" t="s">
        <v>31</v>
      </c>
      <c r="C681">
        <v>2</v>
      </c>
      <c r="D681">
        <v>40.799999999999997</v>
      </c>
      <c r="E681">
        <v>81.599999999999994</v>
      </c>
      <c r="F681" s="1">
        <v>45687</v>
      </c>
      <c r="G681" s="1">
        <v>45689</v>
      </c>
      <c r="H681" t="s">
        <v>12</v>
      </c>
      <c r="I681" t="s">
        <v>36</v>
      </c>
      <c r="J681">
        <v>5</v>
      </c>
      <c r="K681" t="s">
        <v>4</v>
      </c>
      <c r="L681" t="s">
        <v>47</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759</v>
      </c>
      <c r="B682" t="s">
        <v>39</v>
      </c>
      <c r="C682">
        <v>4</v>
      </c>
      <c r="D682">
        <v>58</v>
      </c>
      <c r="E682">
        <v>232</v>
      </c>
      <c r="F682" s="1">
        <v>45687</v>
      </c>
      <c r="G682" s="1">
        <v>45691</v>
      </c>
      <c r="H682" t="s">
        <v>12</v>
      </c>
      <c r="I682" t="s">
        <v>3</v>
      </c>
      <c r="J682">
        <v>4</v>
      </c>
      <c r="K682" t="s">
        <v>4</v>
      </c>
      <c r="L682" t="s">
        <v>47</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760</v>
      </c>
      <c r="B683" t="s">
        <v>54</v>
      </c>
      <c r="C683">
        <v>2</v>
      </c>
      <c r="D683">
        <v>43.1</v>
      </c>
      <c r="E683">
        <v>86.2</v>
      </c>
      <c r="F683" s="1">
        <v>45687</v>
      </c>
      <c r="G683" s="1">
        <v>45688</v>
      </c>
      <c r="H683" t="s">
        <v>12</v>
      </c>
      <c r="I683" t="s">
        <v>20</v>
      </c>
      <c r="J683">
        <v>5</v>
      </c>
      <c r="K683" t="s">
        <v>4</v>
      </c>
      <c r="L683" t="s">
        <v>47</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761</v>
      </c>
      <c r="B684" t="s">
        <v>24</v>
      </c>
      <c r="C684">
        <v>9</v>
      </c>
      <c r="D684">
        <v>74.7</v>
      </c>
      <c r="E684">
        <v>672.30000000000007</v>
      </c>
      <c r="F684" s="1">
        <v>45687</v>
      </c>
      <c r="G684" s="1">
        <v>45689</v>
      </c>
      <c r="H684" t="s">
        <v>8</v>
      </c>
      <c r="I684" t="s">
        <v>3</v>
      </c>
      <c r="J684">
        <v>5</v>
      </c>
      <c r="K684" t="s">
        <v>4</v>
      </c>
      <c r="L684" t="s">
        <v>47</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762</v>
      </c>
      <c r="B685" t="s">
        <v>24</v>
      </c>
      <c r="C685">
        <v>1</v>
      </c>
      <c r="D685">
        <v>128.19999999999999</v>
      </c>
      <c r="E685">
        <v>128.19999999999999</v>
      </c>
      <c r="F685" s="1">
        <v>45687</v>
      </c>
      <c r="G685" s="1">
        <v>45687</v>
      </c>
      <c r="H685" t="s">
        <v>8</v>
      </c>
      <c r="I685" t="s">
        <v>20</v>
      </c>
      <c r="J685">
        <v>4</v>
      </c>
      <c r="K685" t="s">
        <v>4</v>
      </c>
      <c r="L685" t="s">
        <v>47</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763</v>
      </c>
      <c r="B686" t="s">
        <v>66</v>
      </c>
      <c r="C686">
        <v>4</v>
      </c>
      <c r="D686">
        <v>26.7</v>
      </c>
      <c r="E686">
        <v>106.8</v>
      </c>
      <c r="F686" s="1">
        <v>45687</v>
      </c>
      <c r="G686" s="1">
        <v>45688</v>
      </c>
      <c r="H686" t="s">
        <v>8</v>
      </c>
      <c r="I686" t="s">
        <v>20</v>
      </c>
      <c r="J686">
        <v>4</v>
      </c>
      <c r="K686" t="s">
        <v>4</v>
      </c>
      <c r="L686" t="s">
        <v>47</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764</v>
      </c>
      <c r="B687" t="s">
        <v>120</v>
      </c>
      <c r="C687">
        <v>6</v>
      </c>
      <c r="D687">
        <v>31.5</v>
      </c>
      <c r="E687">
        <v>189</v>
      </c>
      <c r="F687" s="1">
        <v>45687</v>
      </c>
      <c r="G687" s="1">
        <v>45688</v>
      </c>
      <c r="H687" t="s">
        <v>12</v>
      </c>
      <c r="I687" t="s">
        <v>25</v>
      </c>
      <c r="J687">
        <v>4</v>
      </c>
      <c r="K687" t="s">
        <v>4</v>
      </c>
      <c r="L687" t="s">
        <v>88</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765</v>
      </c>
      <c r="B688" t="s">
        <v>15</v>
      </c>
      <c r="C688">
        <v>7</v>
      </c>
      <c r="D688">
        <v>64.7</v>
      </c>
      <c r="E688">
        <v>452.90000000000003</v>
      </c>
      <c r="F688" s="1">
        <v>45687</v>
      </c>
      <c r="G688" s="1">
        <v>45688</v>
      </c>
      <c r="H688" t="s">
        <v>12</v>
      </c>
      <c r="I688" t="s">
        <v>3</v>
      </c>
      <c r="J688">
        <v>5</v>
      </c>
      <c r="K688" t="s">
        <v>4</v>
      </c>
      <c r="L688" t="s">
        <v>57</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766</v>
      </c>
      <c r="B689" t="s">
        <v>22</v>
      </c>
      <c r="C689">
        <v>2</v>
      </c>
      <c r="D689">
        <v>55.6</v>
      </c>
      <c r="E689">
        <v>111.2</v>
      </c>
      <c r="F689" s="1">
        <v>45687</v>
      </c>
      <c r="G689" s="1">
        <v>45690</v>
      </c>
      <c r="H689" t="s">
        <v>12</v>
      </c>
      <c r="I689" t="s">
        <v>36</v>
      </c>
      <c r="J689">
        <v>4</v>
      </c>
      <c r="K689" t="s">
        <v>4</v>
      </c>
      <c r="L689" t="s">
        <v>62</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767</v>
      </c>
      <c r="B690" t="s">
        <v>15</v>
      </c>
      <c r="C690">
        <v>2</v>
      </c>
      <c r="D690">
        <v>36.200000000000003</v>
      </c>
      <c r="E690">
        <v>72.400000000000006</v>
      </c>
      <c r="F690" s="1">
        <v>45687</v>
      </c>
      <c r="G690" s="1">
        <v>45688</v>
      </c>
      <c r="H690" t="s">
        <v>12</v>
      </c>
      <c r="I690" t="s">
        <v>36</v>
      </c>
      <c r="J690">
        <v>4</v>
      </c>
      <c r="K690" t="s">
        <v>4</v>
      </c>
      <c r="L690" t="s">
        <v>62</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768</v>
      </c>
      <c r="B691" t="s">
        <v>1</v>
      </c>
      <c r="C691">
        <v>1</v>
      </c>
      <c r="D691">
        <v>26.6</v>
      </c>
      <c r="E691">
        <v>26.6</v>
      </c>
      <c r="F691" s="1">
        <v>45687</v>
      </c>
      <c r="G691" s="1">
        <v>45688</v>
      </c>
      <c r="H691" t="s">
        <v>2</v>
      </c>
      <c r="I691" t="s">
        <v>20</v>
      </c>
      <c r="J691">
        <v>3</v>
      </c>
      <c r="K691" t="s">
        <v>4</v>
      </c>
      <c r="L691" t="s">
        <v>95</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769</v>
      </c>
      <c r="B692" t="s">
        <v>39</v>
      </c>
      <c r="C692">
        <v>4</v>
      </c>
      <c r="D692">
        <v>31.5</v>
      </c>
      <c r="E692">
        <v>126</v>
      </c>
      <c r="F692" s="1">
        <v>45687</v>
      </c>
      <c r="G692" s="1">
        <v>45689</v>
      </c>
      <c r="H692" t="s">
        <v>8</v>
      </c>
      <c r="I692" t="s">
        <v>3</v>
      </c>
      <c r="J692">
        <v>4</v>
      </c>
      <c r="K692" t="s">
        <v>4</v>
      </c>
      <c r="L692" t="s">
        <v>277</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770</v>
      </c>
      <c r="B693" t="s">
        <v>39</v>
      </c>
      <c r="C693">
        <v>1</v>
      </c>
      <c r="D693">
        <v>27</v>
      </c>
      <c r="E693">
        <v>27</v>
      </c>
      <c r="F693" s="1">
        <v>45687</v>
      </c>
      <c r="G693" s="1">
        <v>45689</v>
      </c>
      <c r="H693" t="s">
        <v>12</v>
      </c>
      <c r="I693" t="s">
        <v>20</v>
      </c>
      <c r="J693">
        <v>5</v>
      </c>
      <c r="K693" t="s">
        <v>4</v>
      </c>
      <c r="L693" t="s">
        <v>67</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771</v>
      </c>
      <c r="B694" t="s">
        <v>17</v>
      </c>
      <c r="C694">
        <v>1</v>
      </c>
      <c r="D694">
        <v>32</v>
      </c>
      <c r="E694">
        <v>32</v>
      </c>
      <c r="F694" s="1">
        <v>45687</v>
      </c>
      <c r="G694" s="1">
        <v>45690</v>
      </c>
      <c r="H694" t="s">
        <v>8</v>
      </c>
      <c r="I694" t="s">
        <v>36</v>
      </c>
      <c r="J694">
        <v>4</v>
      </c>
      <c r="K694" t="s">
        <v>4</v>
      </c>
      <c r="L694" t="s">
        <v>100</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772</v>
      </c>
      <c r="B695" t="s">
        <v>7</v>
      </c>
      <c r="C695">
        <v>3</v>
      </c>
      <c r="D695">
        <v>48.1</v>
      </c>
      <c r="E695">
        <v>144.30000000000001</v>
      </c>
      <c r="F695" s="1">
        <v>45687</v>
      </c>
      <c r="G695" s="1">
        <v>45689</v>
      </c>
      <c r="H695" t="s">
        <v>8</v>
      </c>
      <c r="I695" t="s">
        <v>25</v>
      </c>
      <c r="J695">
        <v>3</v>
      </c>
      <c r="K695" t="s">
        <v>4</v>
      </c>
      <c r="L695" t="s">
        <v>9</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773</v>
      </c>
      <c r="B696" t="s">
        <v>31</v>
      </c>
      <c r="C696">
        <v>2</v>
      </c>
      <c r="D696">
        <v>43.4</v>
      </c>
      <c r="E696">
        <v>86.8</v>
      </c>
      <c r="F696" s="1">
        <v>45687</v>
      </c>
      <c r="G696" s="1">
        <v>45688</v>
      </c>
      <c r="H696" t="s">
        <v>8</v>
      </c>
      <c r="I696" t="s">
        <v>20</v>
      </c>
      <c r="J696">
        <v>3</v>
      </c>
      <c r="K696" t="s">
        <v>4</v>
      </c>
      <c r="L696" t="s">
        <v>132</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774</v>
      </c>
      <c r="B697" t="s">
        <v>24</v>
      </c>
      <c r="C697">
        <v>2</v>
      </c>
      <c r="D697">
        <v>42.6</v>
      </c>
      <c r="E697">
        <v>85.2</v>
      </c>
      <c r="F697" s="1">
        <v>45687</v>
      </c>
      <c r="G697" s="1">
        <v>45690</v>
      </c>
      <c r="H697" t="s">
        <v>12</v>
      </c>
      <c r="I697" t="s">
        <v>36</v>
      </c>
      <c r="J697">
        <v>4</v>
      </c>
      <c r="K697" t="s">
        <v>4</v>
      </c>
      <c r="L697" t="s">
        <v>132</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775</v>
      </c>
      <c r="B698" t="s">
        <v>29</v>
      </c>
      <c r="C698">
        <v>2</v>
      </c>
      <c r="D698">
        <v>15.9</v>
      </c>
      <c r="E698">
        <v>31.8</v>
      </c>
      <c r="F698" s="1">
        <v>45687</v>
      </c>
      <c r="G698" s="1">
        <v>45688</v>
      </c>
      <c r="H698" t="s">
        <v>12</v>
      </c>
      <c r="I698" t="s">
        <v>3</v>
      </c>
      <c r="J698">
        <v>4</v>
      </c>
      <c r="K698" t="s">
        <v>4</v>
      </c>
      <c r="L698" t="s">
        <v>319</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776</v>
      </c>
      <c r="B699" t="s">
        <v>31</v>
      </c>
      <c r="C699">
        <v>2</v>
      </c>
      <c r="D699">
        <v>63.2</v>
      </c>
      <c r="E699">
        <v>126.4</v>
      </c>
      <c r="F699" s="1">
        <v>45687</v>
      </c>
      <c r="G699" s="1">
        <v>45688</v>
      </c>
      <c r="H699" t="s">
        <v>8</v>
      </c>
      <c r="I699" t="s">
        <v>20</v>
      </c>
      <c r="J699">
        <v>4</v>
      </c>
      <c r="K699" t="s">
        <v>4</v>
      </c>
      <c r="L699" t="s">
        <v>18</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777</v>
      </c>
      <c r="B700" t="s">
        <v>27</v>
      </c>
      <c r="C700">
        <v>4</v>
      </c>
      <c r="D700">
        <v>64.8</v>
      </c>
      <c r="E700">
        <v>259.2</v>
      </c>
      <c r="F700" s="1">
        <v>45687</v>
      </c>
      <c r="G700" s="1">
        <v>45689</v>
      </c>
      <c r="H700" t="s">
        <v>2</v>
      </c>
      <c r="I700" t="s">
        <v>55</v>
      </c>
      <c r="J700">
        <v>3</v>
      </c>
      <c r="K700" t="s">
        <v>4</v>
      </c>
      <c r="L700" t="s">
        <v>18</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778</v>
      </c>
      <c r="B701" t="s">
        <v>27</v>
      </c>
      <c r="C701">
        <v>3</v>
      </c>
      <c r="D701">
        <v>79.8</v>
      </c>
      <c r="E701">
        <v>239.39999999999998</v>
      </c>
      <c r="F701" s="1">
        <v>45687</v>
      </c>
      <c r="G701" s="1">
        <v>45688</v>
      </c>
      <c r="H701" t="s">
        <v>8</v>
      </c>
      <c r="I701" t="s">
        <v>3</v>
      </c>
      <c r="J701">
        <v>4</v>
      </c>
      <c r="K701" t="s">
        <v>4</v>
      </c>
      <c r="L701" t="s">
        <v>18</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779</v>
      </c>
      <c r="B702" t="s">
        <v>31</v>
      </c>
      <c r="C702">
        <v>1</v>
      </c>
      <c r="D702">
        <v>54.4</v>
      </c>
      <c r="E702">
        <v>54.4</v>
      </c>
      <c r="F702" s="1">
        <v>45687</v>
      </c>
      <c r="G702" s="1">
        <v>45689</v>
      </c>
      <c r="H702" t="s">
        <v>12</v>
      </c>
      <c r="I702" t="s">
        <v>55</v>
      </c>
      <c r="J702">
        <v>5</v>
      </c>
      <c r="K702" t="s">
        <v>4</v>
      </c>
      <c r="L702" t="s">
        <v>18</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780</v>
      </c>
      <c r="B703" t="s">
        <v>24</v>
      </c>
      <c r="C703">
        <v>1</v>
      </c>
      <c r="D703">
        <v>87.3</v>
      </c>
      <c r="E703">
        <v>87.3</v>
      </c>
      <c r="F703" s="1">
        <v>45687</v>
      </c>
      <c r="G703" s="1">
        <v>45688</v>
      </c>
      <c r="H703" t="s">
        <v>8</v>
      </c>
      <c r="I703" t="s">
        <v>20</v>
      </c>
      <c r="J703">
        <v>4</v>
      </c>
      <c r="K703" t="s">
        <v>4</v>
      </c>
      <c r="L703" t="s">
        <v>18</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781</v>
      </c>
      <c r="B704" t="s">
        <v>29</v>
      </c>
      <c r="C704">
        <v>4</v>
      </c>
      <c r="D704">
        <v>32.4</v>
      </c>
      <c r="E704">
        <v>129.6</v>
      </c>
      <c r="F704" s="1">
        <v>45687</v>
      </c>
      <c r="G704" s="1">
        <v>45687</v>
      </c>
      <c r="H704" t="s">
        <v>8</v>
      </c>
      <c r="I704" t="s">
        <v>20</v>
      </c>
      <c r="J704">
        <v>4</v>
      </c>
      <c r="K704" t="s">
        <v>4</v>
      </c>
      <c r="L704" t="s">
        <v>18</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782</v>
      </c>
      <c r="B705" t="s">
        <v>11</v>
      </c>
      <c r="C705">
        <v>1</v>
      </c>
      <c r="D705">
        <v>177.4</v>
      </c>
      <c r="E705">
        <v>177.4</v>
      </c>
      <c r="F705" s="1">
        <v>45687</v>
      </c>
      <c r="G705" s="1">
        <v>45691</v>
      </c>
      <c r="H705" t="s">
        <v>8</v>
      </c>
      <c r="I705" t="s">
        <v>3</v>
      </c>
      <c r="J705">
        <v>5</v>
      </c>
      <c r="K705" t="s">
        <v>4</v>
      </c>
      <c r="L705" t="s">
        <v>18</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783</v>
      </c>
      <c r="B706" t="s">
        <v>27</v>
      </c>
      <c r="C706">
        <v>2</v>
      </c>
      <c r="D706">
        <v>70.099999999999994</v>
      </c>
      <c r="E706">
        <v>140.19999999999999</v>
      </c>
      <c r="F706" s="1">
        <v>45687</v>
      </c>
      <c r="G706" s="1">
        <v>45688</v>
      </c>
      <c r="H706" t="s">
        <v>8</v>
      </c>
      <c r="I706" t="s">
        <v>36</v>
      </c>
      <c r="J706">
        <v>3</v>
      </c>
      <c r="K706" t="s">
        <v>4</v>
      </c>
      <c r="L706" t="s">
        <v>18</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784</v>
      </c>
      <c r="B707" t="s">
        <v>31</v>
      </c>
      <c r="C707">
        <v>6</v>
      </c>
      <c r="D707">
        <v>51.1</v>
      </c>
      <c r="E707">
        <v>306.60000000000002</v>
      </c>
      <c r="F707" s="1">
        <v>45687</v>
      </c>
      <c r="G707" s="1">
        <v>45688</v>
      </c>
      <c r="H707" t="s">
        <v>12</v>
      </c>
      <c r="I707" t="s">
        <v>3</v>
      </c>
      <c r="J707">
        <v>4</v>
      </c>
      <c r="K707" t="s">
        <v>4</v>
      </c>
      <c r="L707" t="s">
        <v>18</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785</v>
      </c>
      <c r="B708" t="s">
        <v>11</v>
      </c>
      <c r="C708">
        <v>5</v>
      </c>
      <c r="D708">
        <v>79.900000000000006</v>
      </c>
      <c r="E708">
        <v>399.5</v>
      </c>
      <c r="F708" s="1">
        <v>45687</v>
      </c>
      <c r="G708" s="1">
        <v>45689</v>
      </c>
      <c r="H708" t="s">
        <v>8</v>
      </c>
      <c r="I708" t="s">
        <v>36</v>
      </c>
      <c r="J708">
        <v>5</v>
      </c>
      <c r="K708" t="s">
        <v>4</v>
      </c>
      <c r="L708" t="s">
        <v>171</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786</v>
      </c>
      <c r="B709" t="s">
        <v>24</v>
      </c>
      <c r="C709">
        <v>1</v>
      </c>
      <c r="D709">
        <v>57.6</v>
      </c>
      <c r="E709">
        <v>57.6</v>
      </c>
      <c r="F709" s="1">
        <v>45688</v>
      </c>
      <c r="G709" s="1">
        <v>45693</v>
      </c>
      <c r="H709" t="s">
        <v>8</v>
      </c>
      <c r="I709" t="s">
        <v>3</v>
      </c>
      <c r="J709">
        <v>5</v>
      </c>
      <c r="K709" t="s">
        <v>4</v>
      </c>
      <c r="L709" t="s">
        <v>787</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788</v>
      </c>
      <c r="B710" t="s">
        <v>29</v>
      </c>
      <c r="C710">
        <v>10</v>
      </c>
      <c r="D710">
        <v>59.7</v>
      </c>
      <c r="E710">
        <v>597</v>
      </c>
      <c r="F710" s="1">
        <v>45688</v>
      </c>
      <c r="G710" s="1">
        <v>45692</v>
      </c>
      <c r="H710" t="s">
        <v>8</v>
      </c>
      <c r="I710" t="s">
        <v>25</v>
      </c>
      <c r="J710">
        <v>4</v>
      </c>
      <c r="K710" t="s">
        <v>4</v>
      </c>
      <c r="L710" t="s">
        <v>173</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789</v>
      </c>
      <c r="B711" t="s">
        <v>29</v>
      </c>
      <c r="C711">
        <v>5</v>
      </c>
      <c r="D711">
        <v>30</v>
      </c>
      <c r="E711">
        <v>150</v>
      </c>
      <c r="F711" s="1">
        <v>45688</v>
      </c>
      <c r="G711" s="1">
        <v>45690</v>
      </c>
      <c r="H711" t="s">
        <v>8</v>
      </c>
      <c r="I711" t="s">
        <v>20</v>
      </c>
      <c r="J711">
        <v>4</v>
      </c>
      <c r="K711" t="s">
        <v>4</v>
      </c>
      <c r="L711" t="s">
        <v>40</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790</v>
      </c>
      <c r="B712" t="s">
        <v>39</v>
      </c>
      <c r="C712">
        <v>2</v>
      </c>
      <c r="D712">
        <v>69.2</v>
      </c>
      <c r="E712">
        <v>138.4</v>
      </c>
      <c r="F712" s="1">
        <v>45688</v>
      </c>
      <c r="G712" s="1">
        <v>45690</v>
      </c>
      <c r="H712" t="s">
        <v>2</v>
      </c>
      <c r="I712" t="s">
        <v>25</v>
      </c>
      <c r="J712">
        <v>3</v>
      </c>
      <c r="K712" t="s">
        <v>4</v>
      </c>
      <c r="L712" t="s">
        <v>40</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791</v>
      </c>
      <c r="B713" t="s">
        <v>1</v>
      </c>
      <c r="C713">
        <v>8</v>
      </c>
      <c r="D713">
        <v>10.9</v>
      </c>
      <c r="E713">
        <v>87.2</v>
      </c>
      <c r="F713" s="1">
        <v>45688</v>
      </c>
      <c r="G713" s="1">
        <v>45689</v>
      </c>
      <c r="H713" t="s">
        <v>12</v>
      </c>
      <c r="I713" t="s">
        <v>3</v>
      </c>
      <c r="J713">
        <v>5</v>
      </c>
      <c r="K713" t="s">
        <v>4</v>
      </c>
      <c r="L713" t="s">
        <v>40</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792</v>
      </c>
      <c r="B714" t="s">
        <v>113</v>
      </c>
      <c r="C714">
        <v>2</v>
      </c>
      <c r="D714">
        <v>48.6</v>
      </c>
      <c r="E714">
        <v>97.2</v>
      </c>
      <c r="F714" s="1">
        <v>45688</v>
      </c>
      <c r="G714" s="1">
        <v>45692</v>
      </c>
      <c r="H714" t="s">
        <v>8</v>
      </c>
      <c r="I714" t="s">
        <v>20</v>
      </c>
      <c r="J714">
        <v>5</v>
      </c>
      <c r="K714" t="s">
        <v>4</v>
      </c>
      <c r="L714" t="s">
        <v>40</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793</v>
      </c>
      <c r="B715" t="s">
        <v>11</v>
      </c>
      <c r="C715">
        <v>2</v>
      </c>
      <c r="D715">
        <v>61.1</v>
      </c>
      <c r="E715">
        <v>122.2</v>
      </c>
      <c r="F715" s="1">
        <v>45688</v>
      </c>
      <c r="G715" s="1">
        <v>45691</v>
      </c>
      <c r="H715" t="s">
        <v>12</v>
      </c>
      <c r="I715" t="s">
        <v>20</v>
      </c>
      <c r="J715">
        <v>5</v>
      </c>
      <c r="K715" t="s">
        <v>4</v>
      </c>
      <c r="L715" t="s">
        <v>44</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794</v>
      </c>
      <c r="B716" t="s">
        <v>29</v>
      </c>
      <c r="C716">
        <v>2</v>
      </c>
      <c r="D716">
        <v>23.2</v>
      </c>
      <c r="E716">
        <v>46.4</v>
      </c>
      <c r="F716" s="1">
        <v>45688</v>
      </c>
      <c r="G716" s="1">
        <v>45689</v>
      </c>
      <c r="H716" t="s">
        <v>8</v>
      </c>
      <c r="I716" t="s">
        <v>36</v>
      </c>
      <c r="J716">
        <v>5</v>
      </c>
      <c r="K716" t="s">
        <v>4</v>
      </c>
      <c r="L716" t="s">
        <v>47</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795</v>
      </c>
      <c r="B717" t="s">
        <v>54</v>
      </c>
      <c r="C717">
        <v>4</v>
      </c>
      <c r="D717">
        <v>55.8</v>
      </c>
      <c r="E717">
        <v>223.2</v>
      </c>
      <c r="F717" s="1">
        <v>45688</v>
      </c>
      <c r="G717" s="1">
        <v>45689</v>
      </c>
      <c r="H717" t="s">
        <v>8</v>
      </c>
      <c r="I717" t="s">
        <v>3</v>
      </c>
      <c r="J717">
        <v>4</v>
      </c>
      <c r="K717" t="s">
        <v>4</v>
      </c>
      <c r="L717" t="s">
        <v>47</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796</v>
      </c>
      <c r="B718" t="s">
        <v>31</v>
      </c>
      <c r="C718">
        <v>4</v>
      </c>
      <c r="D718">
        <v>24.8</v>
      </c>
      <c r="E718">
        <v>99.2</v>
      </c>
      <c r="F718" s="1">
        <v>45688</v>
      </c>
      <c r="G718" s="1">
        <v>45689</v>
      </c>
      <c r="H718" t="s">
        <v>12</v>
      </c>
      <c r="I718" t="s">
        <v>3</v>
      </c>
      <c r="J718">
        <v>5</v>
      </c>
      <c r="K718" t="s">
        <v>4</v>
      </c>
      <c r="L718" t="s">
        <v>47</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797</v>
      </c>
      <c r="B719" t="s">
        <v>39</v>
      </c>
      <c r="C719">
        <v>2</v>
      </c>
      <c r="D719">
        <v>27.9</v>
      </c>
      <c r="E719">
        <v>55.8</v>
      </c>
      <c r="F719" s="1">
        <v>45688</v>
      </c>
      <c r="G719" s="1">
        <v>45688</v>
      </c>
      <c r="H719" t="s">
        <v>8</v>
      </c>
      <c r="I719" t="s">
        <v>25</v>
      </c>
      <c r="J719">
        <v>5</v>
      </c>
      <c r="K719" t="s">
        <v>4</v>
      </c>
      <c r="L719" t="s">
        <v>47</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798</v>
      </c>
      <c r="B720" t="s">
        <v>39</v>
      </c>
      <c r="C720">
        <v>6</v>
      </c>
      <c r="D720">
        <v>51.1</v>
      </c>
      <c r="E720">
        <v>306.60000000000002</v>
      </c>
      <c r="F720" s="1">
        <v>45688</v>
      </c>
      <c r="G720" s="1">
        <v>45688</v>
      </c>
      <c r="H720" t="s">
        <v>12</v>
      </c>
      <c r="I720" t="s">
        <v>36</v>
      </c>
      <c r="J720">
        <v>4</v>
      </c>
      <c r="K720" t="s">
        <v>4</v>
      </c>
      <c r="L720" t="s">
        <v>47</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799</v>
      </c>
      <c r="B721" t="s">
        <v>120</v>
      </c>
      <c r="C721">
        <v>11</v>
      </c>
      <c r="D721">
        <v>32.700000000000003</v>
      </c>
      <c r="E721">
        <v>359.70000000000005</v>
      </c>
      <c r="F721" s="1">
        <v>45688</v>
      </c>
      <c r="G721" s="1">
        <v>45689</v>
      </c>
      <c r="H721" t="s">
        <v>8</v>
      </c>
      <c r="I721" t="s">
        <v>55</v>
      </c>
      <c r="J721">
        <v>5</v>
      </c>
      <c r="K721" t="s">
        <v>4</v>
      </c>
      <c r="L721" t="s">
        <v>88</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800</v>
      </c>
      <c r="B722" t="s">
        <v>29</v>
      </c>
      <c r="C722">
        <v>4</v>
      </c>
      <c r="D722">
        <v>22.5</v>
      </c>
      <c r="E722">
        <v>90</v>
      </c>
      <c r="F722" s="1">
        <v>45688</v>
      </c>
      <c r="G722" s="1">
        <v>45688</v>
      </c>
      <c r="H722" t="s">
        <v>8</v>
      </c>
      <c r="I722" t="s">
        <v>3</v>
      </c>
      <c r="J722">
        <v>5</v>
      </c>
      <c r="K722" t="s">
        <v>4</v>
      </c>
      <c r="L722" t="s">
        <v>186</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801</v>
      </c>
      <c r="B723" t="s">
        <v>1</v>
      </c>
      <c r="C723">
        <v>7</v>
      </c>
      <c r="D723">
        <v>14.6</v>
      </c>
      <c r="E723">
        <v>102.2</v>
      </c>
      <c r="F723" s="1">
        <v>45688</v>
      </c>
      <c r="G723" s="1">
        <v>45689</v>
      </c>
      <c r="H723" t="s">
        <v>12</v>
      </c>
      <c r="I723" t="s">
        <v>25</v>
      </c>
      <c r="J723">
        <v>4</v>
      </c>
      <c r="K723" t="s">
        <v>4</v>
      </c>
      <c r="L723" t="s">
        <v>414</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802</v>
      </c>
      <c r="B724" t="s">
        <v>22</v>
      </c>
      <c r="C724">
        <v>3</v>
      </c>
      <c r="D724">
        <v>32.5</v>
      </c>
      <c r="E724">
        <v>97.5</v>
      </c>
      <c r="F724" s="1">
        <v>45688</v>
      </c>
      <c r="G724" s="1">
        <v>45691</v>
      </c>
      <c r="H724" t="s">
        <v>8</v>
      </c>
      <c r="I724" t="s">
        <v>3</v>
      </c>
      <c r="J724">
        <v>4</v>
      </c>
      <c r="K724" t="s">
        <v>4</v>
      </c>
      <c r="L724" t="s">
        <v>59</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803</v>
      </c>
      <c r="B725" t="s">
        <v>131</v>
      </c>
      <c r="C725">
        <v>1</v>
      </c>
      <c r="D725">
        <v>78.099999999999994</v>
      </c>
      <c r="E725">
        <v>78.099999999999994</v>
      </c>
      <c r="F725" s="1">
        <v>45688</v>
      </c>
      <c r="G725" s="1">
        <v>45691</v>
      </c>
      <c r="H725" t="s">
        <v>8</v>
      </c>
      <c r="I725" t="s">
        <v>3</v>
      </c>
      <c r="J725">
        <v>5</v>
      </c>
      <c r="K725" t="s">
        <v>4</v>
      </c>
      <c r="L725" t="s">
        <v>62</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804</v>
      </c>
      <c r="B726" t="s">
        <v>54</v>
      </c>
      <c r="C726">
        <v>6</v>
      </c>
      <c r="D726">
        <v>110.2</v>
      </c>
      <c r="E726">
        <v>661.2</v>
      </c>
      <c r="F726" s="1">
        <v>45688</v>
      </c>
      <c r="G726" s="1">
        <v>45688</v>
      </c>
      <c r="H726" t="s">
        <v>8</v>
      </c>
      <c r="I726" t="s">
        <v>20</v>
      </c>
      <c r="J726">
        <v>2</v>
      </c>
      <c r="K726" t="s">
        <v>4</v>
      </c>
      <c r="L726" t="s">
        <v>67</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805</v>
      </c>
      <c r="B727" t="s">
        <v>24</v>
      </c>
      <c r="C727">
        <v>3</v>
      </c>
      <c r="D727">
        <v>86.3</v>
      </c>
      <c r="E727">
        <v>258.89999999999998</v>
      </c>
      <c r="F727" s="1">
        <v>45688</v>
      </c>
      <c r="G727" s="1">
        <v>45690</v>
      </c>
      <c r="H727" t="s">
        <v>12</v>
      </c>
      <c r="I727" t="s">
        <v>36</v>
      </c>
      <c r="J727">
        <v>4</v>
      </c>
      <c r="K727" t="s">
        <v>4</v>
      </c>
      <c r="L727" t="s">
        <v>100</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806</v>
      </c>
      <c r="B728" t="s">
        <v>7</v>
      </c>
      <c r="C728">
        <v>6</v>
      </c>
      <c r="D728">
        <v>73.599999999999994</v>
      </c>
      <c r="E728">
        <v>441.59999999999997</v>
      </c>
      <c r="F728" s="1">
        <v>45688</v>
      </c>
      <c r="G728" s="1">
        <v>45690</v>
      </c>
      <c r="H728" t="s">
        <v>74</v>
      </c>
      <c r="I728" t="s">
        <v>36</v>
      </c>
      <c r="J728">
        <v>2</v>
      </c>
      <c r="K728" t="s">
        <v>4</v>
      </c>
      <c r="L728" t="s">
        <v>572</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807</v>
      </c>
      <c r="B729" t="s">
        <v>24</v>
      </c>
      <c r="C729">
        <v>13</v>
      </c>
      <c r="D729">
        <v>67.7</v>
      </c>
      <c r="E729">
        <v>880.1</v>
      </c>
      <c r="F729" s="1">
        <v>45688</v>
      </c>
      <c r="G729" s="1">
        <v>45690</v>
      </c>
      <c r="H729" t="s">
        <v>12</v>
      </c>
      <c r="I729" t="s">
        <v>3</v>
      </c>
      <c r="J729">
        <v>5</v>
      </c>
      <c r="K729" t="s">
        <v>4</v>
      </c>
      <c r="L729" t="s">
        <v>18</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808</v>
      </c>
      <c r="B730" t="s">
        <v>27</v>
      </c>
      <c r="C730">
        <v>6</v>
      </c>
      <c r="D730">
        <v>142.19999999999999</v>
      </c>
      <c r="E730">
        <v>853.19999999999993</v>
      </c>
      <c r="F730" s="1">
        <v>45688</v>
      </c>
      <c r="G730" s="1">
        <v>45689</v>
      </c>
      <c r="H730" t="s">
        <v>12</v>
      </c>
      <c r="I730" t="s">
        <v>25</v>
      </c>
      <c r="J730">
        <v>2</v>
      </c>
      <c r="K730" t="s">
        <v>4</v>
      </c>
      <c r="L730" t="s">
        <v>18</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809</v>
      </c>
      <c r="B731" t="s">
        <v>7</v>
      </c>
      <c r="C731">
        <v>9</v>
      </c>
      <c r="D731">
        <v>45.8</v>
      </c>
      <c r="E731">
        <v>412.2</v>
      </c>
      <c r="F731" s="1">
        <v>45688</v>
      </c>
      <c r="G731" s="1">
        <v>45690</v>
      </c>
      <c r="H731" t="s">
        <v>12</v>
      </c>
      <c r="I731" t="s">
        <v>20</v>
      </c>
      <c r="J731">
        <v>5</v>
      </c>
      <c r="K731" t="s">
        <v>4</v>
      </c>
      <c r="L731" t="s">
        <v>18</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810</v>
      </c>
      <c r="B732" t="s">
        <v>39</v>
      </c>
      <c r="C732">
        <v>2</v>
      </c>
      <c r="D732">
        <v>24.2</v>
      </c>
      <c r="E732">
        <v>48.4</v>
      </c>
      <c r="F732" s="1">
        <v>45689</v>
      </c>
      <c r="G732" s="1">
        <v>45692</v>
      </c>
      <c r="H732" t="s">
        <v>12</v>
      </c>
      <c r="I732" t="s">
        <v>36</v>
      </c>
      <c r="J732">
        <v>5</v>
      </c>
      <c r="K732" t="s">
        <v>4</v>
      </c>
      <c r="L732" t="s">
        <v>18</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811</v>
      </c>
      <c r="B733" t="s">
        <v>11</v>
      </c>
      <c r="C733">
        <v>3</v>
      </c>
      <c r="D733">
        <v>144.9</v>
      </c>
      <c r="E733">
        <v>434.70000000000005</v>
      </c>
      <c r="F733" s="1">
        <v>45689</v>
      </c>
      <c r="G733" s="1">
        <v>45690</v>
      </c>
      <c r="H733" t="s">
        <v>74</v>
      </c>
      <c r="I733" t="s">
        <v>25</v>
      </c>
      <c r="J733">
        <v>5</v>
      </c>
      <c r="K733" t="s">
        <v>4</v>
      </c>
      <c r="L733" t="s">
        <v>18</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812</v>
      </c>
      <c r="B734" t="s">
        <v>52</v>
      </c>
      <c r="C734">
        <v>5</v>
      </c>
      <c r="D734">
        <v>32.799999999999997</v>
      </c>
      <c r="E734">
        <v>164</v>
      </c>
      <c r="F734" s="1">
        <v>45689</v>
      </c>
      <c r="G734" s="1">
        <v>45692</v>
      </c>
      <c r="H734" t="s">
        <v>12</v>
      </c>
      <c r="I734" t="s">
        <v>25</v>
      </c>
      <c r="J734">
        <v>4</v>
      </c>
      <c r="K734" t="s">
        <v>4</v>
      </c>
      <c r="L734" t="s">
        <v>143</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813</v>
      </c>
      <c r="B735" t="s">
        <v>27</v>
      </c>
      <c r="C735">
        <v>10</v>
      </c>
      <c r="D735">
        <v>35.700000000000003</v>
      </c>
      <c r="E735">
        <v>357</v>
      </c>
      <c r="F735" s="1">
        <v>45689</v>
      </c>
      <c r="G735" s="1">
        <v>45689</v>
      </c>
      <c r="H735" t="s">
        <v>12</v>
      </c>
      <c r="I735" t="s">
        <v>3</v>
      </c>
      <c r="J735">
        <v>3</v>
      </c>
      <c r="K735" t="s">
        <v>4</v>
      </c>
      <c r="L735" t="s">
        <v>40</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814</v>
      </c>
      <c r="B736" t="s">
        <v>31</v>
      </c>
      <c r="C736">
        <v>2</v>
      </c>
      <c r="D736">
        <v>54.6</v>
      </c>
      <c r="E736">
        <v>109.2</v>
      </c>
      <c r="F736" s="1">
        <v>45689</v>
      </c>
      <c r="G736" s="1">
        <v>45690</v>
      </c>
      <c r="H736" t="s">
        <v>12</v>
      </c>
      <c r="I736" t="s">
        <v>25</v>
      </c>
      <c r="J736">
        <v>4</v>
      </c>
      <c r="K736" t="s">
        <v>4</v>
      </c>
      <c r="L736" t="s">
        <v>40</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815</v>
      </c>
      <c r="B737" t="s">
        <v>29</v>
      </c>
      <c r="C737">
        <v>2</v>
      </c>
      <c r="D737">
        <v>35.700000000000003</v>
      </c>
      <c r="E737">
        <v>71.400000000000006</v>
      </c>
      <c r="F737" s="1">
        <v>45689</v>
      </c>
      <c r="G737" s="1">
        <v>45692</v>
      </c>
      <c r="H737" t="s">
        <v>2</v>
      </c>
      <c r="I737" t="s">
        <v>3</v>
      </c>
      <c r="J737">
        <v>3</v>
      </c>
      <c r="K737" t="s">
        <v>4</v>
      </c>
      <c r="L737" t="s">
        <v>40</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816</v>
      </c>
      <c r="B738" t="s">
        <v>39</v>
      </c>
      <c r="C738">
        <v>2</v>
      </c>
      <c r="D738">
        <v>52.4</v>
      </c>
      <c r="E738">
        <v>104.8</v>
      </c>
      <c r="F738" s="1">
        <v>45689</v>
      </c>
      <c r="G738" s="1">
        <v>45689</v>
      </c>
      <c r="H738" t="s">
        <v>12</v>
      </c>
      <c r="I738" t="s">
        <v>3</v>
      </c>
      <c r="J738">
        <v>1</v>
      </c>
      <c r="K738" t="s">
        <v>4</v>
      </c>
      <c r="L738" t="s">
        <v>40</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817</v>
      </c>
      <c r="B739" t="s">
        <v>29</v>
      </c>
      <c r="C739">
        <v>14</v>
      </c>
      <c r="D739">
        <v>16.2</v>
      </c>
      <c r="E739">
        <v>226.79999999999998</v>
      </c>
      <c r="F739" s="1">
        <v>45689</v>
      </c>
      <c r="G739" s="1">
        <v>45690</v>
      </c>
      <c r="H739" t="s">
        <v>2</v>
      </c>
      <c r="I739" t="s">
        <v>3</v>
      </c>
      <c r="J739">
        <v>3</v>
      </c>
      <c r="K739" t="s">
        <v>4</v>
      </c>
      <c r="L739" t="s">
        <v>47</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818</v>
      </c>
      <c r="B740" t="s">
        <v>24</v>
      </c>
      <c r="C740">
        <v>47</v>
      </c>
      <c r="D740">
        <v>42.8</v>
      </c>
      <c r="E740">
        <v>2011.6</v>
      </c>
      <c r="F740" s="1">
        <v>45689</v>
      </c>
      <c r="G740" s="1">
        <v>45690</v>
      </c>
      <c r="H740" t="s">
        <v>12</v>
      </c>
      <c r="I740" t="s">
        <v>3</v>
      </c>
      <c r="J740">
        <v>4</v>
      </c>
      <c r="K740" t="s">
        <v>4</v>
      </c>
      <c r="L740" t="s">
        <v>47</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819</v>
      </c>
      <c r="B741" t="s">
        <v>24</v>
      </c>
      <c r="C741">
        <v>9</v>
      </c>
      <c r="D741">
        <v>144.4</v>
      </c>
      <c r="E741">
        <v>1299.6000000000001</v>
      </c>
      <c r="F741" s="1">
        <v>45689</v>
      </c>
      <c r="G741" s="1">
        <v>45692</v>
      </c>
      <c r="H741" t="s">
        <v>12</v>
      </c>
      <c r="I741" t="s">
        <v>55</v>
      </c>
      <c r="J741">
        <v>4</v>
      </c>
      <c r="K741" t="s">
        <v>4</v>
      </c>
      <c r="L741" t="s">
        <v>47</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820</v>
      </c>
      <c r="B742" t="s">
        <v>15</v>
      </c>
      <c r="C742">
        <v>36</v>
      </c>
      <c r="D742">
        <v>30.6</v>
      </c>
      <c r="E742">
        <v>1101.6000000000001</v>
      </c>
      <c r="F742" s="1">
        <v>45689</v>
      </c>
      <c r="G742" s="1">
        <v>45693</v>
      </c>
      <c r="H742" t="s">
        <v>12</v>
      </c>
      <c r="I742" t="s">
        <v>25</v>
      </c>
      <c r="J742">
        <v>5</v>
      </c>
      <c r="K742" t="s">
        <v>4</v>
      </c>
      <c r="L742" t="s">
        <v>62</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821</v>
      </c>
      <c r="B743" t="s">
        <v>11</v>
      </c>
      <c r="C743">
        <v>2</v>
      </c>
      <c r="D743">
        <v>117.5</v>
      </c>
      <c r="E743">
        <v>235</v>
      </c>
      <c r="F743" s="1">
        <v>45689</v>
      </c>
      <c r="G743" s="1">
        <v>45690</v>
      </c>
      <c r="H743" t="s">
        <v>8</v>
      </c>
      <c r="I743" t="s">
        <v>3</v>
      </c>
      <c r="J743">
        <v>4</v>
      </c>
      <c r="K743" t="s">
        <v>4</v>
      </c>
      <c r="L743" t="s">
        <v>95</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822</v>
      </c>
      <c r="B744" t="s">
        <v>24</v>
      </c>
      <c r="C744">
        <v>2</v>
      </c>
      <c r="D744">
        <v>105.7</v>
      </c>
      <c r="E744">
        <v>211.4</v>
      </c>
      <c r="F744" s="1">
        <v>45689</v>
      </c>
      <c r="G744" s="1">
        <v>45690</v>
      </c>
      <c r="H744" t="s">
        <v>12</v>
      </c>
      <c r="I744" t="s">
        <v>25</v>
      </c>
      <c r="J744">
        <v>5</v>
      </c>
      <c r="K744" t="s">
        <v>4</v>
      </c>
      <c r="L744" t="s">
        <v>100</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823</v>
      </c>
      <c r="B745" t="s">
        <v>15</v>
      </c>
      <c r="C745">
        <v>3</v>
      </c>
      <c r="D745">
        <v>133.69999999999999</v>
      </c>
      <c r="E745">
        <v>401.09999999999997</v>
      </c>
      <c r="F745" s="1">
        <v>45689</v>
      </c>
      <c r="G745" s="1">
        <v>45690</v>
      </c>
      <c r="H745" t="s">
        <v>2</v>
      </c>
      <c r="I745" t="s">
        <v>55</v>
      </c>
      <c r="J745">
        <v>5</v>
      </c>
      <c r="K745" t="s">
        <v>4</v>
      </c>
      <c r="L745" t="s">
        <v>100</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824</v>
      </c>
      <c r="B746" t="s">
        <v>17</v>
      </c>
      <c r="C746">
        <v>5</v>
      </c>
      <c r="D746">
        <v>46.8</v>
      </c>
      <c r="E746">
        <v>234</v>
      </c>
      <c r="F746" s="1">
        <v>45690</v>
      </c>
      <c r="G746" s="1">
        <v>45698</v>
      </c>
      <c r="H746" t="s">
        <v>12</v>
      </c>
      <c r="I746" t="s">
        <v>3</v>
      </c>
      <c r="J746">
        <v>3</v>
      </c>
      <c r="K746" t="s">
        <v>4</v>
      </c>
      <c r="L746" t="s">
        <v>100</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825</v>
      </c>
      <c r="B747" t="s">
        <v>39</v>
      </c>
      <c r="C747">
        <v>3</v>
      </c>
      <c r="D747">
        <v>58.4</v>
      </c>
      <c r="E747">
        <v>175.2</v>
      </c>
      <c r="F747" s="1">
        <v>45690</v>
      </c>
      <c r="G747" s="1">
        <v>45692</v>
      </c>
      <c r="H747" t="s">
        <v>12</v>
      </c>
      <c r="I747" t="s">
        <v>3</v>
      </c>
      <c r="J747">
        <v>4</v>
      </c>
      <c r="K747" t="s">
        <v>4</v>
      </c>
      <c r="L747" t="s">
        <v>9</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826</v>
      </c>
      <c r="B748" t="s">
        <v>24</v>
      </c>
      <c r="C748">
        <v>9</v>
      </c>
      <c r="D748">
        <v>65.099999999999994</v>
      </c>
      <c r="E748">
        <v>585.9</v>
      </c>
      <c r="F748" s="1">
        <v>45690</v>
      </c>
      <c r="G748" s="1">
        <v>45694</v>
      </c>
      <c r="H748" t="s">
        <v>8</v>
      </c>
      <c r="I748" t="s">
        <v>20</v>
      </c>
      <c r="J748">
        <v>5</v>
      </c>
      <c r="K748" t="s">
        <v>4</v>
      </c>
      <c r="L748" t="s">
        <v>132</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827</v>
      </c>
      <c r="B749" t="s">
        <v>29</v>
      </c>
      <c r="C749">
        <v>1</v>
      </c>
      <c r="D749">
        <v>18.600000000000001</v>
      </c>
      <c r="E749">
        <v>18.600000000000001</v>
      </c>
      <c r="F749" s="1">
        <v>45690</v>
      </c>
      <c r="G749" s="1">
        <v>45693</v>
      </c>
      <c r="H749" t="s">
        <v>12</v>
      </c>
      <c r="I749" t="s">
        <v>3</v>
      </c>
      <c r="J749">
        <v>2</v>
      </c>
      <c r="K749" t="s">
        <v>4</v>
      </c>
      <c r="L749" t="s">
        <v>132</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828</v>
      </c>
      <c r="B750" t="s">
        <v>7</v>
      </c>
      <c r="C750">
        <v>11</v>
      </c>
      <c r="D750">
        <v>92.3</v>
      </c>
      <c r="E750">
        <v>1015.3</v>
      </c>
      <c r="F750" s="1">
        <v>45690</v>
      </c>
      <c r="G750" s="1">
        <v>45692</v>
      </c>
      <c r="H750" t="s">
        <v>8</v>
      </c>
      <c r="I750" t="s">
        <v>20</v>
      </c>
      <c r="J750">
        <v>4</v>
      </c>
      <c r="K750" t="s">
        <v>4</v>
      </c>
      <c r="L750" t="s">
        <v>18</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829</v>
      </c>
      <c r="B751" t="s">
        <v>24</v>
      </c>
      <c r="C751">
        <v>3</v>
      </c>
      <c r="D751">
        <v>81.7</v>
      </c>
      <c r="E751">
        <v>245.10000000000002</v>
      </c>
      <c r="F751" s="1">
        <v>45690</v>
      </c>
      <c r="G751" s="1">
        <v>45691</v>
      </c>
      <c r="H751" t="s">
        <v>2</v>
      </c>
      <c r="I751" t="s">
        <v>55</v>
      </c>
      <c r="J751">
        <v>2</v>
      </c>
      <c r="K751" t="s">
        <v>4</v>
      </c>
      <c r="L751" t="s">
        <v>18</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830</v>
      </c>
      <c r="B752" t="s">
        <v>29</v>
      </c>
      <c r="C752">
        <v>2</v>
      </c>
      <c r="D752">
        <v>40.9</v>
      </c>
      <c r="E752">
        <v>81.8</v>
      </c>
      <c r="F752" s="1">
        <v>45690</v>
      </c>
      <c r="G752" s="1">
        <v>45692</v>
      </c>
      <c r="H752" t="s">
        <v>8</v>
      </c>
      <c r="I752" t="s">
        <v>3</v>
      </c>
      <c r="J752">
        <v>3</v>
      </c>
      <c r="K752" t="s">
        <v>4</v>
      </c>
      <c r="L752" t="s">
        <v>18</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831</v>
      </c>
      <c r="B753" t="s">
        <v>24</v>
      </c>
      <c r="C753">
        <v>4</v>
      </c>
      <c r="D753">
        <v>43.2</v>
      </c>
      <c r="E753">
        <v>172.8</v>
      </c>
      <c r="F753" s="1">
        <v>45690</v>
      </c>
      <c r="G753" s="1">
        <v>45696</v>
      </c>
      <c r="H753" t="s">
        <v>12</v>
      </c>
      <c r="I753" t="s">
        <v>3</v>
      </c>
      <c r="J753">
        <v>3</v>
      </c>
      <c r="K753" t="s">
        <v>4</v>
      </c>
      <c r="L753" t="s">
        <v>18</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832</v>
      </c>
      <c r="B754" t="s">
        <v>29</v>
      </c>
      <c r="C754">
        <v>11</v>
      </c>
      <c r="D754">
        <v>25.8</v>
      </c>
      <c r="E754">
        <v>283.8</v>
      </c>
      <c r="F754" s="1">
        <v>45690</v>
      </c>
      <c r="G754" s="1">
        <v>45693</v>
      </c>
      <c r="H754" t="s">
        <v>8</v>
      </c>
      <c r="I754" t="s">
        <v>25</v>
      </c>
      <c r="J754">
        <v>3</v>
      </c>
      <c r="K754" t="s">
        <v>4</v>
      </c>
      <c r="L754" t="s">
        <v>18</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833</v>
      </c>
      <c r="B755" t="s">
        <v>108</v>
      </c>
      <c r="C755">
        <v>4</v>
      </c>
      <c r="D755">
        <v>36.4</v>
      </c>
      <c r="E755">
        <v>145.6</v>
      </c>
      <c r="F755" s="1">
        <v>45690</v>
      </c>
      <c r="G755" s="1">
        <v>45691</v>
      </c>
      <c r="H755" t="s">
        <v>8</v>
      </c>
      <c r="I755" t="s">
        <v>3</v>
      </c>
      <c r="J755">
        <v>4</v>
      </c>
      <c r="K755" t="s">
        <v>4</v>
      </c>
      <c r="L755" t="s">
        <v>18</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834</v>
      </c>
      <c r="B756" t="s">
        <v>39</v>
      </c>
      <c r="C756">
        <v>1</v>
      </c>
      <c r="D756">
        <v>59.1</v>
      </c>
      <c r="E756">
        <v>59.1</v>
      </c>
      <c r="F756" s="1">
        <v>45690</v>
      </c>
      <c r="G756" s="1">
        <v>45691</v>
      </c>
      <c r="H756" t="s">
        <v>12</v>
      </c>
      <c r="I756" t="s">
        <v>25</v>
      </c>
      <c r="J756">
        <v>4</v>
      </c>
      <c r="K756" t="s">
        <v>4</v>
      </c>
      <c r="L756" t="s">
        <v>44</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835</v>
      </c>
      <c r="B757" t="s">
        <v>11</v>
      </c>
      <c r="C757">
        <v>17</v>
      </c>
      <c r="D757">
        <v>74.5</v>
      </c>
      <c r="E757">
        <v>1266.5</v>
      </c>
      <c r="F757" s="1">
        <v>45690</v>
      </c>
      <c r="G757" s="1">
        <v>45692</v>
      </c>
      <c r="H757" t="s">
        <v>8</v>
      </c>
      <c r="I757" t="s">
        <v>55</v>
      </c>
      <c r="J757">
        <v>4</v>
      </c>
      <c r="K757" t="s">
        <v>4</v>
      </c>
      <c r="L757" t="s">
        <v>93</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836</v>
      </c>
      <c r="B758" t="s">
        <v>22</v>
      </c>
      <c r="C758">
        <v>1</v>
      </c>
      <c r="D758">
        <v>72.8</v>
      </c>
      <c r="E758">
        <v>72.8</v>
      </c>
      <c r="F758" s="1">
        <v>45690</v>
      </c>
      <c r="G758" s="1">
        <v>45691</v>
      </c>
      <c r="H758" t="s">
        <v>12</v>
      </c>
      <c r="I758" t="s">
        <v>3</v>
      </c>
      <c r="J758">
        <v>3</v>
      </c>
      <c r="K758" t="s">
        <v>4</v>
      </c>
      <c r="L758" t="s">
        <v>95</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837</v>
      </c>
      <c r="B759" t="s">
        <v>24</v>
      </c>
      <c r="C759">
        <v>4</v>
      </c>
      <c r="D759">
        <v>137.30000000000001</v>
      </c>
      <c r="E759">
        <v>549.20000000000005</v>
      </c>
      <c r="F759" s="1">
        <v>45690</v>
      </c>
      <c r="G759" s="1">
        <v>45693</v>
      </c>
      <c r="H759" t="s">
        <v>12</v>
      </c>
      <c r="I759" t="s">
        <v>3</v>
      </c>
      <c r="J759">
        <v>4</v>
      </c>
      <c r="K759" t="s">
        <v>4</v>
      </c>
      <c r="L759" t="s">
        <v>67</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838</v>
      </c>
      <c r="B760" t="s">
        <v>7</v>
      </c>
      <c r="C760">
        <v>3</v>
      </c>
      <c r="D760">
        <v>48.7</v>
      </c>
      <c r="E760">
        <v>146.10000000000002</v>
      </c>
      <c r="F760" s="1">
        <v>45690</v>
      </c>
      <c r="G760" s="1">
        <v>45695</v>
      </c>
      <c r="H760" t="s">
        <v>12</v>
      </c>
      <c r="I760" t="s">
        <v>3</v>
      </c>
      <c r="J760">
        <v>3</v>
      </c>
      <c r="K760" t="s">
        <v>4</v>
      </c>
      <c r="L760" t="s">
        <v>100</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839</v>
      </c>
      <c r="B761" t="s">
        <v>24</v>
      </c>
      <c r="C761">
        <v>4</v>
      </c>
      <c r="D761">
        <v>53.7</v>
      </c>
      <c r="E761">
        <v>214.8</v>
      </c>
      <c r="F761" s="1">
        <v>45690</v>
      </c>
      <c r="G761" s="1">
        <v>45694</v>
      </c>
      <c r="H761" t="s">
        <v>8</v>
      </c>
      <c r="I761" t="s">
        <v>20</v>
      </c>
      <c r="J761">
        <v>2</v>
      </c>
      <c r="K761" t="s">
        <v>4</v>
      </c>
      <c r="L761" t="s">
        <v>13</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840</v>
      </c>
      <c r="B762" t="s">
        <v>11</v>
      </c>
      <c r="C762">
        <v>7</v>
      </c>
      <c r="D762">
        <v>100.9</v>
      </c>
      <c r="E762">
        <v>706.30000000000007</v>
      </c>
      <c r="F762" s="1">
        <v>45690</v>
      </c>
      <c r="G762" s="1">
        <v>45692</v>
      </c>
      <c r="H762" t="s">
        <v>12</v>
      </c>
      <c r="I762" t="s">
        <v>3</v>
      </c>
      <c r="J762">
        <v>3</v>
      </c>
      <c r="K762" t="s">
        <v>4</v>
      </c>
      <c r="L762" t="s">
        <v>13</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841</v>
      </c>
      <c r="B763" t="s">
        <v>39</v>
      </c>
      <c r="C763">
        <v>2</v>
      </c>
      <c r="D763">
        <v>41.8</v>
      </c>
      <c r="E763">
        <v>83.6</v>
      </c>
      <c r="F763" s="1">
        <v>45690</v>
      </c>
      <c r="G763" s="1">
        <v>45694</v>
      </c>
      <c r="H763" t="s">
        <v>8</v>
      </c>
      <c r="I763" t="s">
        <v>36</v>
      </c>
      <c r="J763">
        <v>5</v>
      </c>
      <c r="K763" t="s">
        <v>4</v>
      </c>
      <c r="L763" t="s">
        <v>132</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842</v>
      </c>
      <c r="B764" t="s">
        <v>17</v>
      </c>
      <c r="C764">
        <v>8</v>
      </c>
      <c r="D764">
        <v>28.5</v>
      </c>
      <c r="E764">
        <v>228</v>
      </c>
      <c r="F764" s="1">
        <v>45690</v>
      </c>
      <c r="G764" s="1">
        <v>45692</v>
      </c>
      <c r="H764" t="s">
        <v>8</v>
      </c>
      <c r="I764" t="s">
        <v>25</v>
      </c>
      <c r="J764">
        <v>3</v>
      </c>
      <c r="K764" t="s">
        <v>4</v>
      </c>
      <c r="L764" t="s">
        <v>18</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843</v>
      </c>
      <c r="B765" t="s">
        <v>27</v>
      </c>
      <c r="C765">
        <v>4</v>
      </c>
      <c r="D765">
        <v>88.9</v>
      </c>
      <c r="E765">
        <v>355.6</v>
      </c>
      <c r="F765" s="1">
        <v>45690</v>
      </c>
      <c r="G765" s="1">
        <v>45693</v>
      </c>
      <c r="H765" t="s">
        <v>12</v>
      </c>
      <c r="I765" t="s">
        <v>3</v>
      </c>
      <c r="J765">
        <v>5</v>
      </c>
      <c r="K765" t="s">
        <v>4</v>
      </c>
      <c r="L765" t="s">
        <v>18</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844</v>
      </c>
      <c r="B766" t="s">
        <v>24</v>
      </c>
      <c r="C766">
        <v>1</v>
      </c>
      <c r="D766">
        <v>62.5</v>
      </c>
      <c r="E766">
        <v>62.5</v>
      </c>
      <c r="F766" s="1">
        <v>45690</v>
      </c>
      <c r="G766" s="1">
        <v>45699</v>
      </c>
      <c r="H766" t="s">
        <v>12</v>
      </c>
      <c r="I766" t="s">
        <v>3</v>
      </c>
      <c r="J766">
        <v>5</v>
      </c>
      <c r="K766" t="s">
        <v>4</v>
      </c>
      <c r="L766" t="s">
        <v>18</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845</v>
      </c>
      <c r="B767" t="s">
        <v>7</v>
      </c>
      <c r="C767">
        <v>3</v>
      </c>
      <c r="D767">
        <v>46.9</v>
      </c>
      <c r="E767">
        <v>140.69999999999999</v>
      </c>
      <c r="F767" s="1">
        <v>45690</v>
      </c>
      <c r="G767" s="1">
        <v>45691</v>
      </c>
      <c r="H767" t="s">
        <v>8</v>
      </c>
      <c r="I767" t="s">
        <v>3</v>
      </c>
      <c r="J767">
        <v>5</v>
      </c>
      <c r="K767" t="s">
        <v>4</v>
      </c>
      <c r="L767" t="s">
        <v>18</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846</v>
      </c>
      <c r="B768" t="s">
        <v>29</v>
      </c>
      <c r="C768">
        <v>3</v>
      </c>
      <c r="D768">
        <v>45</v>
      </c>
      <c r="E768">
        <v>135</v>
      </c>
      <c r="F768" s="1">
        <v>45690</v>
      </c>
      <c r="G768" s="1">
        <v>45704</v>
      </c>
      <c r="H768" t="s">
        <v>8</v>
      </c>
      <c r="I768" t="s">
        <v>20</v>
      </c>
      <c r="J768">
        <v>4</v>
      </c>
      <c r="K768" t="s">
        <v>4</v>
      </c>
      <c r="L768" t="s">
        <v>18</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847</v>
      </c>
      <c r="B769" t="s">
        <v>24</v>
      </c>
      <c r="C769">
        <v>3</v>
      </c>
      <c r="D769">
        <v>45.2</v>
      </c>
      <c r="E769">
        <v>135.60000000000002</v>
      </c>
      <c r="F769" s="1">
        <v>45690</v>
      </c>
      <c r="G769" s="1">
        <v>45692</v>
      </c>
      <c r="H769" t="s">
        <v>8</v>
      </c>
      <c r="I769" t="s">
        <v>55</v>
      </c>
      <c r="J769">
        <v>5</v>
      </c>
      <c r="K769" t="s">
        <v>4</v>
      </c>
      <c r="L769" t="s">
        <v>18</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848</v>
      </c>
      <c r="B770" t="s">
        <v>17</v>
      </c>
      <c r="C770">
        <v>2</v>
      </c>
      <c r="D770">
        <v>60.1</v>
      </c>
      <c r="E770">
        <v>120.2</v>
      </c>
      <c r="F770" s="1">
        <v>45690</v>
      </c>
      <c r="G770" s="1">
        <v>45691</v>
      </c>
      <c r="H770" t="s">
        <v>12</v>
      </c>
      <c r="I770" t="s">
        <v>3</v>
      </c>
      <c r="J770">
        <v>5</v>
      </c>
      <c r="K770" t="s">
        <v>4</v>
      </c>
      <c r="L770" t="s">
        <v>18</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849</v>
      </c>
      <c r="B771" t="s">
        <v>54</v>
      </c>
      <c r="C771">
        <v>4</v>
      </c>
      <c r="D771">
        <v>118.7</v>
      </c>
      <c r="E771">
        <v>474.8</v>
      </c>
      <c r="F771" s="1">
        <v>45690</v>
      </c>
      <c r="G771" s="1">
        <v>45692</v>
      </c>
      <c r="H771" t="s">
        <v>12</v>
      </c>
      <c r="I771" t="s">
        <v>3</v>
      </c>
      <c r="J771">
        <v>4</v>
      </c>
      <c r="K771" t="s">
        <v>4</v>
      </c>
      <c r="L771" t="s">
        <v>18</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850</v>
      </c>
      <c r="B772" t="s">
        <v>31</v>
      </c>
      <c r="C772">
        <v>1</v>
      </c>
      <c r="D772">
        <v>57.8</v>
      </c>
      <c r="E772">
        <v>57.8</v>
      </c>
      <c r="F772" s="1">
        <v>45690</v>
      </c>
      <c r="G772" s="1">
        <v>45699</v>
      </c>
      <c r="H772" t="s">
        <v>12</v>
      </c>
      <c r="I772" t="s">
        <v>20</v>
      </c>
      <c r="J772">
        <v>4</v>
      </c>
      <c r="K772" t="s">
        <v>4</v>
      </c>
      <c r="L772" t="s">
        <v>18</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851</v>
      </c>
      <c r="B773" t="s">
        <v>17</v>
      </c>
      <c r="C773">
        <v>1</v>
      </c>
      <c r="D773">
        <v>19.5</v>
      </c>
      <c r="E773">
        <v>19.5</v>
      </c>
      <c r="F773" s="1">
        <v>45690</v>
      </c>
      <c r="G773" s="1">
        <v>45691</v>
      </c>
      <c r="H773" t="s">
        <v>8</v>
      </c>
      <c r="I773" t="s">
        <v>20</v>
      </c>
      <c r="J773">
        <v>3</v>
      </c>
      <c r="K773" t="s">
        <v>4</v>
      </c>
      <c r="L773" t="s">
        <v>18</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852</v>
      </c>
      <c r="B774" t="s">
        <v>54</v>
      </c>
      <c r="C774">
        <v>1</v>
      </c>
      <c r="D774">
        <v>42.6</v>
      </c>
      <c r="E774">
        <v>42.6</v>
      </c>
      <c r="F774" s="1">
        <v>45690</v>
      </c>
      <c r="G774" s="1">
        <v>45691</v>
      </c>
      <c r="H774" t="s">
        <v>8</v>
      </c>
      <c r="I774" t="s">
        <v>3</v>
      </c>
      <c r="J774">
        <v>3</v>
      </c>
      <c r="K774" t="s">
        <v>4</v>
      </c>
      <c r="L774" t="s">
        <v>18</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853</v>
      </c>
      <c r="B775" t="s">
        <v>24</v>
      </c>
      <c r="C775">
        <v>2</v>
      </c>
      <c r="D775">
        <v>74.8</v>
      </c>
      <c r="E775">
        <v>149.6</v>
      </c>
      <c r="F775" s="1">
        <v>45690</v>
      </c>
      <c r="G775" s="1">
        <v>45691</v>
      </c>
      <c r="H775" t="s">
        <v>12</v>
      </c>
      <c r="I775" t="s">
        <v>36</v>
      </c>
      <c r="J775">
        <v>5</v>
      </c>
      <c r="K775" t="s">
        <v>4</v>
      </c>
      <c r="L775" t="s">
        <v>349</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854</v>
      </c>
      <c r="B776" t="s">
        <v>29</v>
      </c>
      <c r="C776">
        <v>3</v>
      </c>
      <c r="D776">
        <v>32.5</v>
      </c>
      <c r="E776">
        <v>97.5</v>
      </c>
      <c r="F776" s="1">
        <v>45690</v>
      </c>
      <c r="G776" s="1">
        <v>45691</v>
      </c>
      <c r="H776" t="s">
        <v>8</v>
      </c>
      <c r="I776" t="s">
        <v>25</v>
      </c>
      <c r="J776">
        <v>2</v>
      </c>
      <c r="K776" t="s">
        <v>4</v>
      </c>
      <c r="L776" t="s">
        <v>83</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855</v>
      </c>
      <c r="B777" t="s">
        <v>11</v>
      </c>
      <c r="C777">
        <v>3</v>
      </c>
      <c r="D777">
        <v>60.5</v>
      </c>
      <c r="E777">
        <v>181.5</v>
      </c>
      <c r="F777" s="1">
        <v>45690</v>
      </c>
      <c r="G777" s="1">
        <v>45690</v>
      </c>
      <c r="H777" t="s">
        <v>12</v>
      </c>
      <c r="I777" t="s">
        <v>20</v>
      </c>
      <c r="J777">
        <v>5</v>
      </c>
      <c r="K777" t="s">
        <v>4</v>
      </c>
      <c r="L777" t="s">
        <v>173</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856</v>
      </c>
      <c r="B778" t="s">
        <v>7</v>
      </c>
      <c r="C778">
        <v>7</v>
      </c>
      <c r="D778">
        <v>57.2</v>
      </c>
      <c r="E778">
        <v>400.40000000000003</v>
      </c>
      <c r="F778" s="1">
        <v>45690</v>
      </c>
      <c r="G778" s="1">
        <v>45692</v>
      </c>
      <c r="H778" t="s">
        <v>2</v>
      </c>
      <c r="I778" t="s">
        <v>25</v>
      </c>
      <c r="J778">
        <v>4</v>
      </c>
      <c r="K778" t="s">
        <v>4</v>
      </c>
      <c r="L778" t="s">
        <v>173</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857</v>
      </c>
      <c r="B779" t="s">
        <v>113</v>
      </c>
      <c r="C779">
        <v>2</v>
      </c>
      <c r="D779">
        <v>112</v>
      </c>
      <c r="E779">
        <v>224</v>
      </c>
      <c r="F779" s="1">
        <v>45690</v>
      </c>
      <c r="G779" s="1">
        <v>45691</v>
      </c>
      <c r="H779" t="s">
        <v>12</v>
      </c>
      <c r="I779" t="s">
        <v>20</v>
      </c>
      <c r="J779">
        <v>3</v>
      </c>
      <c r="K779" t="s">
        <v>4</v>
      </c>
      <c r="L779" t="s">
        <v>37</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858</v>
      </c>
      <c r="B780" t="s">
        <v>27</v>
      </c>
      <c r="C780">
        <v>10</v>
      </c>
      <c r="D780">
        <v>49</v>
      </c>
      <c r="E780">
        <v>490</v>
      </c>
      <c r="F780" s="1">
        <v>45690</v>
      </c>
      <c r="G780" s="1">
        <v>45691</v>
      </c>
      <c r="H780" t="s">
        <v>74</v>
      </c>
      <c r="I780" t="s">
        <v>25</v>
      </c>
      <c r="J780">
        <v>3</v>
      </c>
      <c r="K780" t="s">
        <v>4</v>
      </c>
      <c r="L780" t="s">
        <v>40</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859</v>
      </c>
      <c r="B781" t="s">
        <v>1</v>
      </c>
      <c r="C781">
        <v>2</v>
      </c>
      <c r="D781">
        <v>33.700000000000003</v>
      </c>
      <c r="E781">
        <v>67.400000000000006</v>
      </c>
      <c r="F781" s="1">
        <v>45690</v>
      </c>
      <c r="G781" s="1">
        <v>45694</v>
      </c>
      <c r="H781" t="s">
        <v>12</v>
      </c>
      <c r="I781" t="s">
        <v>36</v>
      </c>
      <c r="J781">
        <v>4</v>
      </c>
      <c r="K781" t="s">
        <v>4</v>
      </c>
      <c r="L781" t="s">
        <v>40</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860</v>
      </c>
      <c r="B782" t="s">
        <v>17</v>
      </c>
      <c r="C782">
        <v>3</v>
      </c>
      <c r="D782">
        <v>35.6</v>
      </c>
      <c r="E782">
        <v>106.80000000000001</v>
      </c>
      <c r="F782" s="1">
        <v>45690</v>
      </c>
      <c r="G782" s="1">
        <v>45693</v>
      </c>
      <c r="H782" t="s">
        <v>12</v>
      </c>
      <c r="I782" t="s">
        <v>3</v>
      </c>
      <c r="J782">
        <v>5</v>
      </c>
      <c r="K782" t="s">
        <v>4</v>
      </c>
      <c r="L782" t="s">
        <v>40</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861</v>
      </c>
      <c r="B783" t="s">
        <v>17</v>
      </c>
      <c r="C783">
        <v>35</v>
      </c>
      <c r="D783">
        <v>30.4</v>
      </c>
      <c r="E783">
        <v>1064</v>
      </c>
      <c r="F783" s="1">
        <v>45691</v>
      </c>
      <c r="G783" s="1">
        <v>45691</v>
      </c>
      <c r="H783" t="s">
        <v>12</v>
      </c>
      <c r="I783" t="s">
        <v>3</v>
      </c>
      <c r="J783">
        <v>3</v>
      </c>
      <c r="K783" t="s">
        <v>4</v>
      </c>
      <c r="L783" t="s">
        <v>44</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862</v>
      </c>
      <c r="B784" t="s">
        <v>39</v>
      </c>
      <c r="C784">
        <v>12</v>
      </c>
      <c r="D784">
        <v>50.2</v>
      </c>
      <c r="E784">
        <v>602.40000000000009</v>
      </c>
      <c r="F784" s="1">
        <v>45691</v>
      </c>
      <c r="G784" s="1">
        <v>45692</v>
      </c>
      <c r="H784" t="s">
        <v>8</v>
      </c>
      <c r="I784" t="s">
        <v>55</v>
      </c>
      <c r="J784">
        <v>4</v>
      </c>
      <c r="K784" t="s">
        <v>4</v>
      </c>
      <c r="L784" t="s">
        <v>47</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863</v>
      </c>
      <c r="B785" t="s">
        <v>7</v>
      </c>
      <c r="C785">
        <v>2</v>
      </c>
      <c r="D785">
        <v>43.7</v>
      </c>
      <c r="E785">
        <v>87.4</v>
      </c>
      <c r="F785" s="1">
        <v>45691</v>
      </c>
      <c r="G785" s="1">
        <v>45693</v>
      </c>
      <c r="H785" t="s">
        <v>12</v>
      </c>
      <c r="I785" t="s">
        <v>3</v>
      </c>
      <c r="J785">
        <v>4</v>
      </c>
      <c r="K785" t="s">
        <v>4</v>
      </c>
      <c r="L785" t="s">
        <v>47</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864</v>
      </c>
      <c r="B786" t="s">
        <v>39</v>
      </c>
      <c r="C786">
        <v>1</v>
      </c>
      <c r="D786">
        <v>33.299999999999997</v>
      </c>
      <c r="E786">
        <v>33.299999999999997</v>
      </c>
      <c r="F786" s="1">
        <v>45691</v>
      </c>
      <c r="G786" s="1">
        <v>45692</v>
      </c>
      <c r="H786" t="s">
        <v>12</v>
      </c>
      <c r="I786" t="s">
        <v>25</v>
      </c>
      <c r="J786">
        <v>3</v>
      </c>
      <c r="K786" t="s">
        <v>4</v>
      </c>
      <c r="L786" t="s">
        <v>47</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865</v>
      </c>
      <c r="B787" t="s">
        <v>29</v>
      </c>
      <c r="C787">
        <v>4</v>
      </c>
      <c r="D787">
        <v>15.1</v>
      </c>
      <c r="E787">
        <v>60.4</v>
      </c>
      <c r="F787" s="1">
        <v>45691</v>
      </c>
      <c r="G787" s="1">
        <v>45693</v>
      </c>
      <c r="H787" t="s">
        <v>12</v>
      </c>
      <c r="I787" t="s">
        <v>55</v>
      </c>
      <c r="J787">
        <v>5</v>
      </c>
      <c r="K787" t="s">
        <v>4</v>
      </c>
      <c r="L787" t="s">
        <v>47</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866</v>
      </c>
      <c r="B788" t="s">
        <v>24</v>
      </c>
      <c r="C788">
        <v>5</v>
      </c>
      <c r="D788">
        <v>118.2</v>
      </c>
      <c r="E788">
        <v>591</v>
      </c>
      <c r="F788" s="1">
        <v>45691</v>
      </c>
      <c r="G788" s="1">
        <v>45692</v>
      </c>
      <c r="H788" t="s">
        <v>12</v>
      </c>
      <c r="I788" t="s">
        <v>36</v>
      </c>
      <c r="J788">
        <v>2</v>
      </c>
      <c r="K788" t="s">
        <v>4</v>
      </c>
      <c r="L788" t="s">
        <v>47</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867</v>
      </c>
      <c r="B789" t="s">
        <v>39</v>
      </c>
      <c r="C789">
        <v>3</v>
      </c>
      <c r="D789">
        <v>28.9</v>
      </c>
      <c r="E789">
        <v>86.699999999999989</v>
      </c>
      <c r="F789" s="1">
        <v>45691</v>
      </c>
      <c r="G789" s="1">
        <v>45693</v>
      </c>
      <c r="H789" t="s">
        <v>12</v>
      </c>
      <c r="I789" t="s">
        <v>25</v>
      </c>
      <c r="J789">
        <v>3</v>
      </c>
      <c r="K789" t="s">
        <v>4</v>
      </c>
      <c r="L789" t="s">
        <v>47</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868</v>
      </c>
      <c r="B790" t="s">
        <v>17</v>
      </c>
      <c r="C790">
        <v>3</v>
      </c>
      <c r="D790">
        <v>55.6</v>
      </c>
      <c r="E790">
        <v>166.8</v>
      </c>
      <c r="F790" s="1">
        <v>45691</v>
      </c>
      <c r="G790" s="1">
        <v>45692</v>
      </c>
      <c r="H790" t="s">
        <v>8</v>
      </c>
      <c r="I790" t="s">
        <v>3</v>
      </c>
      <c r="J790">
        <v>3</v>
      </c>
      <c r="K790" t="s">
        <v>4</v>
      </c>
      <c r="L790" t="s">
        <v>47</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869</v>
      </c>
      <c r="B791" t="s">
        <v>31</v>
      </c>
      <c r="C791">
        <v>4</v>
      </c>
      <c r="D791">
        <v>25.6</v>
      </c>
      <c r="E791">
        <v>102.4</v>
      </c>
      <c r="F791" s="1">
        <v>45691</v>
      </c>
      <c r="G791" s="1">
        <v>45693</v>
      </c>
      <c r="H791" t="s">
        <v>12</v>
      </c>
      <c r="I791" t="s">
        <v>3</v>
      </c>
      <c r="J791">
        <v>3</v>
      </c>
      <c r="K791" t="s">
        <v>4</v>
      </c>
      <c r="L791" t="s">
        <v>47</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870</v>
      </c>
      <c r="B792" t="s">
        <v>27</v>
      </c>
      <c r="C792">
        <v>3</v>
      </c>
      <c r="D792">
        <v>31.3</v>
      </c>
      <c r="E792">
        <v>93.9</v>
      </c>
      <c r="F792" s="1">
        <v>45691</v>
      </c>
      <c r="G792" s="1">
        <v>45692</v>
      </c>
      <c r="H792" t="s">
        <v>8</v>
      </c>
      <c r="I792" t="s">
        <v>3</v>
      </c>
      <c r="J792">
        <v>4</v>
      </c>
      <c r="K792" t="s">
        <v>4</v>
      </c>
      <c r="L792" t="s">
        <v>88</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871</v>
      </c>
      <c r="B793" t="s">
        <v>1</v>
      </c>
      <c r="C793">
        <v>3</v>
      </c>
      <c r="D793">
        <v>22.1</v>
      </c>
      <c r="E793">
        <v>66.300000000000011</v>
      </c>
      <c r="F793" s="1">
        <v>45691</v>
      </c>
      <c r="G793" s="1">
        <v>45695</v>
      </c>
      <c r="H793" t="s">
        <v>8</v>
      </c>
      <c r="I793" t="s">
        <v>3</v>
      </c>
      <c r="J793">
        <v>4</v>
      </c>
      <c r="K793" t="s">
        <v>4</v>
      </c>
      <c r="L793" t="s">
        <v>88</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872</v>
      </c>
      <c r="B794" t="s">
        <v>11</v>
      </c>
      <c r="C794">
        <v>14</v>
      </c>
      <c r="D794">
        <v>99.4</v>
      </c>
      <c r="E794">
        <v>1391.6000000000001</v>
      </c>
      <c r="F794" s="1">
        <v>45691</v>
      </c>
      <c r="G794" s="1">
        <v>45692</v>
      </c>
      <c r="H794" t="s">
        <v>8</v>
      </c>
      <c r="I794" t="s">
        <v>20</v>
      </c>
      <c r="J794">
        <v>4</v>
      </c>
      <c r="K794" t="s">
        <v>4</v>
      </c>
      <c r="L794" t="s">
        <v>62</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873</v>
      </c>
      <c r="B795" t="s">
        <v>27</v>
      </c>
      <c r="C795">
        <v>6</v>
      </c>
      <c r="D795">
        <v>66.599999999999994</v>
      </c>
      <c r="E795">
        <v>399.59999999999997</v>
      </c>
      <c r="F795" s="1">
        <v>45691</v>
      </c>
      <c r="G795" s="1">
        <v>45692</v>
      </c>
      <c r="H795" t="s">
        <v>12</v>
      </c>
      <c r="I795" t="s">
        <v>3</v>
      </c>
      <c r="J795">
        <v>4</v>
      </c>
      <c r="K795" t="s">
        <v>4</v>
      </c>
      <c r="L795" t="s">
        <v>62</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874</v>
      </c>
      <c r="B796" t="s">
        <v>29</v>
      </c>
      <c r="C796">
        <v>2</v>
      </c>
      <c r="D796">
        <v>22.6</v>
      </c>
      <c r="E796">
        <v>45.2</v>
      </c>
      <c r="F796" s="1">
        <v>45691</v>
      </c>
      <c r="G796" s="1">
        <v>45694</v>
      </c>
      <c r="H796" t="s">
        <v>8</v>
      </c>
      <c r="I796" t="s">
        <v>3</v>
      </c>
      <c r="J796">
        <v>4</v>
      </c>
      <c r="K796" t="s">
        <v>4</v>
      </c>
      <c r="L796" t="s">
        <v>62</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875</v>
      </c>
      <c r="B797" t="s">
        <v>11</v>
      </c>
      <c r="C797">
        <v>18</v>
      </c>
      <c r="D797">
        <v>66.8</v>
      </c>
      <c r="E797">
        <v>1202.3999999999999</v>
      </c>
      <c r="F797" s="1">
        <v>45691</v>
      </c>
      <c r="G797" s="1">
        <v>45692</v>
      </c>
      <c r="H797" t="s">
        <v>12</v>
      </c>
      <c r="I797" t="s">
        <v>3</v>
      </c>
      <c r="J797">
        <v>2</v>
      </c>
      <c r="K797" t="s">
        <v>4</v>
      </c>
      <c r="L797" t="s">
        <v>67</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876</v>
      </c>
      <c r="B798" t="s">
        <v>1</v>
      </c>
      <c r="C798">
        <v>4</v>
      </c>
      <c r="D798">
        <v>20.8</v>
      </c>
      <c r="E798">
        <v>83.2</v>
      </c>
      <c r="F798" s="1">
        <v>45691</v>
      </c>
      <c r="G798" s="1">
        <v>45698</v>
      </c>
      <c r="H798" t="s">
        <v>8</v>
      </c>
      <c r="I798" t="s">
        <v>20</v>
      </c>
      <c r="J798">
        <v>2</v>
      </c>
      <c r="K798" t="s">
        <v>4</v>
      </c>
      <c r="L798" t="s">
        <v>9</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877</v>
      </c>
      <c r="B799" t="s">
        <v>11</v>
      </c>
      <c r="C799">
        <v>7</v>
      </c>
      <c r="D799">
        <v>102.5</v>
      </c>
      <c r="E799">
        <v>717.5</v>
      </c>
      <c r="F799" s="1">
        <v>45691</v>
      </c>
      <c r="G799" s="1">
        <v>45692</v>
      </c>
      <c r="H799" t="s">
        <v>12</v>
      </c>
      <c r="I799" t="s">
        <v>55</v>
      </c>
      <c r="J799">
        <v>5</v>
      </c>
      <c r="K799" t="s">
        <v>4</v>
      </c>
      <c r="L799" t="s">
        <v>18</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878</v>
      </c>
      <c r="B800" t="s">
        <v>1</v>
      </c>
      <c r="C800">
        <v>18</v>
      </c>
      <c r="D800">
        <v>24.8</v>
      </c>
      <c r="E800">
        <v>446.40000000000003</v>
      </c>
      <c r="F800" s="1">
        <v>45691</v>
      </c>
      <c r="G800" s="1">
        <v>45695</v>
      </c>
      <c r="H800" t="s">
        <v>12</v>
      </c>
      <c r="I800" t="s">
        <v>3</v>
      </c>
      <c r="J800">
        <v>4</v>
      </c>
      <c r="K800" t="s">
        <v>4</v>
      </c>
      <c r="L800" t="s">
        <v>18</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879</v>
      </c>
      <c r="B801" t="s">
        <v>17</v>
      </c>
      <c r="C801">
        <v>31</v>
      </c>
      <c r="D801">
        <v>31.4</v>
      </c>
      <c r="E801">
        <v>973.4</v>
      </c>
      <c r="F801" s="1">
        <v>45691</v>
      </c>
      <c r="G801" s="1">
        <v>45692</v>
      </c>
      <c r="H801" t="s">
        <v>12</v>
      </c>
      <c r="I801" t="s">
        <v>36</v>
      </c>
      <c r="J801">
        <v>4</v>
      </c>
      <c r="K801" t="s">
        <v>4</v>
      </c>
      <c r="L801" t="s">
        <v>18</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880</v>
      </c>
      <c r="B802" t="s">
        <v>31</v>
      </c>
      <c r="C802">
        <v>5</v>
      </c>
      <c r="D802">
        <v>59.3</v>
      </c>
      <c r="E802">
        <v>296.5</v>
      </c>
      <c r="F802" s="1">
        <v>45691</v>
      </c>
      <c r="G802" s="1">
        <v>45694</v>
      </c>
      <c r="H802" t="s">
        <v>8</v>
      </c>
      <c r="I802" t="s">
        <v>20</v>
      </c>
      <c r="J802">
        <v>5</v>
      </c>
      <c r="K802" t="s">
        <v>4</v>
      </c>
      <c r="L802" t="s">
        <v>530</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881</v>
      </c>
      <c r="B803" t="s">
        <v>52</v>
      </c>
      <c r="C803">
        <v>6</v>
      </c>
      <c r="D803">
        <v>39</v>
      </c>
      <c r="E803">
        <v>234</v>
      </c>
      <c r="F803" s="1">
        <v>45691</v>
      </c>
      <c r="G803" s="1">
        <v>45694</v>
      </c>
      <c r="H803" t="s">
        <v>8</v>
      </c>
      <c r="I803" t="s">
        <v>20</v>
      </c>
      <c r="J803">
        <v>4</v>
      </c>
      <c r="K803" t="s">
        <v>4</v>
      </c>
      <c r="L803" t="s">
        <v>40</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882</v>
      </c>
      <c r="B804" t="s">
        <v>22</v>
      </c>
      <c r="C804">
        <v>6</v>
      </c>
      <c r="D804">
        <v>98.6</v>
      </c>
      <c r="E804">
        <v>591.59999999999991</v>
      </c>
      <c r="F804" s="1">
        <v>45691</v>
      </c>
      <c r="G804" s="1">
        <v>45693</v>
      </c>
      <c r="H804" t="s">
        <v>12</v>
      </c>
      <c r="I804" t="s">
        <v>20</v>
      </c>
      <c r="J804">
        <v>4</v>
      </c>
      <c r="K804" t="s">
        <v>4</v>
      </c>
      <c r="L804" t="s">
        <v>40</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883</v>
      </c>
      <c r="B805" t="s">
        <v>29</v>
      </c>
      <c r="C805">
        <v>1</v>
      </c>
      <c r="D805">
        <v>20</v>
      </c>
      <c r="E805">
        <v>20</v>
      </c>
      <c r="F805" s="1">
        <v>45692</v>
      </c>
      <c r="G805" s="1">
        <v>45693</v>
      </c>
      <c r="H805" t="s">
        <v>8</v>
      </c>
      <c r="I805" t="s">
        <v>36</v>
      </c>
      <c r="J805">
        <v>5</v>
      </c>
      <c r="K805" t="s">
        <v>4</v>
      </c>
      <c r="L805" t="s">
        <v>47</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884</v>
      </c>
      <c r="B806" t="s">
        <v>7</v>
      </c>
      <c r="C806">
        <v>2</v>
      </c>
      <c r="D806">
        <v>42.9</v>
      </c>
      <c r="E806">
        <v>85.8</v>
      </c>
      <c r="F806" s="1">
        <v>45692</v>
      </c>
      <c r="G806" s="1">
        <v>45694</v>
      </c>
      <c r="H806" t="s">
        <v>12</v>
      </c>
      <c r="I806" t="s">
        <v>3</v>
      </c>
      <c r="J806">
        <v>5</v>
      </c>
      <c r="K806" t="s">
        <v>4</v>
      </c>
      <c r="L806" t="s">
        <v>47</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885</v>
      </c>
      <c r="B807" t="s">
        <v>27</v>
      </c>
      <c r="C807">
        <v>7</v>
      </c>
      <c r="D807">
        <v>55.6</v>
      </c>
      <c r="E807">
        <v>389.2</v>
      </c>
      <c r="F807" s="1">
        <v>45692</v>
      </c>
      <c r="G807" s="1">
        <v>45694</v>
      </c>
      <c r="H807" t="s">
        <v>12</v>
      </c>
      <c r="I807" t="s">
        <v>25</v>
      </c>
      <c r="J807">
        <v>3</v>
      </c>
      <c r="K807" t="s">
        <v>4</v>
      </c>
      <c r="L807" t="s">
        <v>47</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886</v>
      </c>
      <c r="B808" t="s">
        <v>29</v>
      </c>
      <c r="C808">
        <v>4</v>
      </c>
      <c r="D808">
        <v>19.2</v>
      </c>
      <c r="E808">
        <v>76.8</v>
      </c>
      <c r="F808" s="1">
        <v>45692</v>
      </c>
      <c r="G808" s="1">
        <v>45697</v>
      </c>
      <c r="H808" t="s">
        <v>12</v>
      </c>
      <c r="I808" t="s">
        <v>3</v>
      </c>
      <c r="J808">
        <v>4</v>
      </c>
      <c r="K808" t="s">
        <v>4</v>
      </c>
      <c r="L808" t="s">
        <v>414</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887</v>
      </c>
      <c r="B809" t="s">
        <v>22</v>
      </c>
      <c r="C809">
        <v>2</v>
      </c>
      <c r="D809">
        <v>28.8</v>
      </c>
      <c r="E809">
        <v>57.6</v>
      </c>
      <c r="F809" s="1">
        <v>45692</v>
      </c>
      <c r="G809" s="1">
        <v>45694</v>
      </c>
      <c r="H809" t="s">
        <v>8</v>
      </c>
      <c r="I809" t="s">
        <v>20</v>
      </c>
      <c r="J809">
        <v>4</v>
      </c>
      <c r="K809" t="s">
        <v>4</v>
      </c>
      <c r="L809" t="s">
        <v>93</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888</v>
      </c>
      <c r="B810" t="s">
        <v>17</v>
      </c>
      <c r="C810">
        <v>1</v>
      </c>
      <c r="D810">
        <v>29.7</v>
      </c>
      <c r="E810">
        <v>29.7</v>
      </c>
      <c r="F810" s="1">
        <v>45692</v>
      </c>
      <c r="G810" s="1">
        <v>45694</v>
      </c>
      <c r="H810" t="s">
        <v>12</v>
      </c>
      <c r="I810" t="s">
        <v>25</v>
      </c>
      <c r="J810">
        <v>2</v>
      </c>
      <c r="K810" t="s">
        <v>4</v>
      </c>
      <c r="L810" t="s">
        <v>98</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889</v>
      </c>
      <c r="B811" t="s">
        <v>24</v>
      </c>
      <c r="C811">
        <v>6</v>
      </c>
      <c r="D811">
        <v>63.3</v>
      </c>
      <c r="E811">
        <v>379.79999999999995</v>
      </c>
      <c r="F811" s="1">
        <v>45692</v>
      </c>
      <c r="G811" s="1">
        <v>45693</v>
      </c>
      <c r="H811" t="s">
        <v>2</v>
      </c>
      <c r="I811" t="s">
        <v>3</v>
      </c>
      <c r="J811">
        <v>5</v>
      </c>
      <c r="K811" t="s">
        <v>4</v>
      </c>
      <c r="L811" t="s">
        <v>100</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890</v>
      </c>
      <c r="B812" t="s">
        <v>17</v>
      </c>
      <c r="C812">
        <v>1</v>
      </c>
      <c r="D812">
        <v>46</v>
      </c>
      <c r="E812">
        <v>46</v>
      </c>
      <c r="F812" s="1">
        <v>45692</v>
      </c>
      <c r="G812" s="1">
        <v>45693</v>
      </c>
      <c r="H812" t="s">
        <v>12</v>
      </c>
      <c r="I812" t="s">
        <v>3</v>
      </c>
      <c r="J812">
        <v>5</v>
      </c>
      <c r="K812" t="s">
        <v>4</v>
      </c>
      <c r="L812" t="s">
        <v>100</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891</v>
      </c>
      <c r="B813" t="s">
        <v>52</v>
      </c>
      <c r="C813">
        <v>3</v>
      </c>
      <c r="D813">
        <v>38</v>
      </c>
      <c r="E813">
        <v>114</v>
      </c>
      <c r="F813" s="1">
        <v>45692</v>
      </c>
      <c r="G813" s="1">
        <v>45694</v>
      </c>
      <c r="H813" t="s">
        <v>12</v>
      </c>
      <c r="I813" t="s">
        <v>20</v>
      </c>
      <c r="J813">
        <v>5</v>
      </c>
      <c r="K813" t="s">
        <v>4</v>
      </c>
      <c r="L813" t="s">
        <v>100</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892</v>
      </c>
      <c r="B814" t="s">
        <v>39</v>
      </c>
      <c r="C814">
        <v>13</v>
      </c>
      <c r="D814">
        <v>34.6</v>
      </c>
      <c r="E814">
        <v>449.8</v>
      </c>
      <c r="F814" s="1">
        <v>45692</v>
      </c>
      <c r="G814" s="1">
        <v>45694</v>
      </c>
      <c r="H814" t="s">
        <v>12</v>
      </c>
      <c r="I814" t="s">
        <v>3</v>
      </c>
      <c r="J814">
        <v>3</v>
      </c>
      <c r="K814" t="s">
        <v>4</v>
      </c>
      <c r="L814" t="s">
        <v>100</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893</v>
      </c>
      <c r="B815" t="s">
        <v>15</v>
      </c>
      <c r="C815">
        <v>10</v>
      </c>
      <c r="D815">
        <v>79.7</v>
      </c>
      <c r="E815">
        <v>797</v>
      </c>
      <c r="F815" s="1">
        <v>45692</v>
      </c>
      <c r="G815" s="1">
        <v>45693</v>
      </c>
      <c r="H815" t="s">
        <v>12</v>
      </c>
      <c r="I815" t="s">
        <v>55</v>
      </c>
      <c r="J815">
        <v>3</v>
      </c>
      <c r="K815" t="s">
        <v>4</v>
      </c>
      <c r="L815" t="s">
        <v>100</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894</v>
      </c>
      <c r="B816" t="s">
        <v>29</v>
      </c>
      <c r="C816">
        <v>8</v>
      </c>
      <c r="D816">
        <v>30.5</v>
      </c>
      <c r="E816">
        <v>244</v>
      </c>
      <c r="F816" s="1">
        <v>45692</v>
      </c>
      <c r="G816" s="1">
        <v>45696</v>
      </c>
      <c r="H816" t="s">
        <v>8</v>
      </c>
      <c r="I816" t="s">
        <v>36</v>
      </c>
      <c r="J816">
        <v>4</v>
      </c>
      <c r="K816" t="s">
        <v>4</v>
      </c>
      <c r="L816" t="s">
        <v>9</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895</v>
      </c>
      <c r="B817" t="s">
        <v>1</v>
      </c>
      <c r="C817">
        <v>2</v>
      </c>
      <c r="D817">
        <v>20.8</v>
      </c>
      <c r="E817">
        <v>41.6</v>
      </c>
      <c r="F817" s="1">
        <v>45692</v>
      </c>
      <c r="G817" s="1">
        <v>45693</v>
      </c>
      <c r="H817" t="s">
        <v>12</v>
      </c>
      <c r="I817" t="s">
        <v>3</v>
      </c>
      <c r="J817">
        <v>4</v>
      </c>
      <c r="K817" t="s">
        <v>4</v>
      </c>
      <c r="L817" t="s">
        <v>13</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896</v>
      </c>
      <c r="B818" t="s">
        <v>52</v>
      </c>
      <c r="C818">
        <v>7</v>
      </c>
      <c r="D818">
        <v>48.5</v>
      </c>
      <c r="E818">
        <v>339.5</v>
      </c>
      <c r="F818" s="1">
        <v>45692</v>
      </c>
      <c r="G818" s="1">
        <v>45696</v>
      </c>
      <c r="H818" t="s">
        <v>12</v>
      </c>
      <c r="I818" t="s">
        <v>25</v>
      </c>
      <c r="J818">
        <v>5</v>
      </c>
      <c r="K818" t="s">
        <v>4</v>
      </c>
      <c r="L818" t="s">
        <v>13</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897</v>
      </c>
      <c r="B819" t="s">
        <v>11</v>
      </c>
      <c r="C819">
        <v>4</v>
      </c>
      <c r="D819">
        <v>61.8</v>
      </c>
      <c r="E819">
        <v>247.2</v>
      </c>
      <c r="F819" s="1">
        <v>45692</v>
      </c>
      <c r="G819" s="1">
        <v>45696</v>
      </c>
      <c r="H819" t="s">
        <v>12</v>
      </c>
      <c r="I819" t="s">
        <v>55</v>
      </c>
      <c r="J819">
        <v>4</v>
      </c>
      <c r="K819" t="s">
        <v>4</v>
      </c>
      <c r="L819" t="s">
        <v>132</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898</v>
      </c>
      <c r="B820" t="s">
        <v>39</v>
      </c>
      <c r="C820">
        <v>1</v>
      </c>
      <c r="D820">
        <v>46.1</v>
      </c>
      <c r="E820">
        <v>46.1</v>
      </c>
      <c r="F820" s="1">
        <v>45692</v>
      </c>
      <c r="G820" s="1">
        <v>45693</v>
      </c>
      <c r="H820" t="s">
        <v>74</v>
      </c>
      <c r="I820" t="s">
        <v>25</v>
      </c>
      <c r="J820">
        <v>4</v>
      </c>
      <c r="K820" t="s">
        <v>4</v>
      </c>
      <c r="L820" t="s">
        <v>18</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899</v>
      </c>
      <c r="B821" t="s">
        <v>17</v>
      </c>
      <c r="C821">
        <v>6</v>
      </c>
      <c r="D821">
        <v>44</v>
      </c>
      <c r="E821">
        <v>264</v>
      </c>
      <c r="F821" s="1">
        <v>45692</v>
      </c>
      <c r="G821" s="1">
        <v>45693</v>
      </c>
      <c r="H821" t="s">
        <v>12</v>
      </c>
      <c r="I821" t="s">
        <v>3</v>
      </c>
      <c r="J821">
        <v>4</v>
      </c>
      <c r="K821" t="s">
        <v>4</v>
      </c>
      <c r="L821" t="s">
        <v>18</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900</v>
      </c>
      <c r="B822" t="s">
        <v>131</v>
      </c>
      <c r="C822">
        <v>2</v>
      </c>
      <c r="D822">
        <v>95.7</v>
      </c>
      <c r="E822">
        <v>191.4</v>
      </c>
      <c r="F822" s="1">
        <v>45692</v>
      </c>
      <c r="G822" s="1">
        <v>45698</v>
      </c>
      <c r="H822" t="s">
        <v>12</v>
      </c>
      <c r="I822" t="s">
        <v>36</v>
      </c>
      <c r="J822">
        <v>5</v>
      </c>
      <c r="K822" t="s">
        <v>4</v>
      </c>
      <c r="L822" t="s">
        <v>18</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901</v>
      </c>
      <c r="B823" t="s">
        <v>27</v>
      </c>
      <c r="C823">
        <v>5</v>
      </c>
      <c r="D823">
        <v>46.4</v>
      </c>
      <c r="E823">
        <v>232</v>
      </c>
      <c r="F823" s="1">
        <v>45692</v>
      </c>
      <c r="G823" s="1">
        <v>45695</v>
      </c>
      <c r="H823" t="s">
        <v>12</v>
      </c>
      <c r="I823" t="s">
        <v>3</v>
      </c>
      <c r="J823">
        <v>4</v>
      </c>
      <c r="K823" t="s">
        <v>4</v>
      </c>
      <c r="L823" t="s">
        <v>18</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902</v>
      </c>
      <c r="B824" t="s">
        <v>24</v>
      </c>
      <c r="C824">
        <v>2</v>
      </c>
      <c r="D824">
        <v>47.2</v>
      </c>
      <c r="E824">
        <v>94.4</v>
      </c>
      <c r="F824" s="1">
        <v>45692</v>
      </c>
      <c r="G824" s="1">
        <v>45694</v>
      </c>
      <c r="H824" t="s">
        <v>12</v>
      </c>
      <c r="I824" t="s">
        <v>3</v>
      </c>
      <c r="J824">
        <v>5</v>
      </c>
      <c r="K824" t="s">
        <v>4</v>
      </c>
      <c r="L824" t="s">
        <v>18</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903</v>
      </c>
      <c r="B825" t="s">
        <v>27</v>
      </c>
      <c r="C825">
        <v>2</v>
      </c>
      <c r="D825">
        <v>58.6</v>
      </c>
      <c r="E825">
        <v>117.2</v>
      </c>
      <c r="F825" s="1">
        <v>45692</v>
      </c>
      <c r="G825" s="1">
        <v>45693</v>
      </c>
      <c r="H825" t="s">
        <v>12</v>
      </c>
      <c r="I825" t="s">
        <v>25</v>
      </c>
      <c r="J825">
        <v>3</v>
      </c>
      <c r="K825" t="s">
        <v>4</v>
      </c>
      <c r="L825" t="s">
        <v>18</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904</v>
      </c>
      <c r="B826" t="s">
        <v>17</v>
      </c>
      <c r="C826">
        <v>3</v>
      </c>
      <c r="D826">
        <v>57</v>
      </c>
      <c r="E826">
        <v>171</v>
      </c>
      <c r="F826" s="1">
        <v>45692</v>
      </c>
      <c r="G826" s="1">
        <v>45693</v>
      </c>
      <c r="H826" t="s">
        <v>8</v>
      </c>
      <c r="I826" t="s">
        <v>3</v>
      </c>
      <c r="J826">
        <v>5</v>
      </c>
      <c r="K826" t="s">
        <v>4</v>
      </c>
      <c r="L826" t="s">
        <v>18</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905</v>
      </c>
      <c r="B827" t="s">
        <v>29</v>
      </c>
      <c r="C827">
        <v>4</v>
      </c>
      <c r="D827">
        <v>28.9</v>
      </c>
      <c r="E827">
        <v>115.6</v>
      </c>
      <c r="F827" s="1">
        <v>45692</v>
      </c>
      <c r="G827" s="1">
        <v>45696</v>
      </c>
      <c r="H827" t="s">
        <v>8</v>
      </c>
      <c r="I827" t="s">
        <v>25</v>
      </c>
      <c r="J827">
        <v>4</v>
      </c>
      <c r="K827" t="s">
        <v>4</v>
      </c>
      <c r="L827" t="s">
        <v>18</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906</v>
      </c>
      <c r="B828" t="s">
        <v>54</v>
      </c>
      <c r="C828">
        <v>5</v>
      </c>
      <c r="D828">
        <v>60.7</v>
      </c>
      <c r="E828">
        <v>303.5</v>
      </c>
      <c r="F828" s="1">
        <v>45692</v>
      </c>
      <c r="G828" s="1">
        <v>45696</v>
      </c>
      <c r="H828" t="s">
        <v>2</v>
      </c>
      <c r="I828" t="s">
        <v>20</v>
      </c>
      <c r="J828">
        <v>3</v>
      </c>
      <c r="K828" t="s">
        <v>4</v>
      </c>
      <c r="L828" t="s">
        <v>18</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907</v>
      </c>
      <c r="B829" t="s">
        <v>24</v>
      </c>
      <c r="C829">
        <v>5</v>
      </c>
      <c r="D829">
        <v>60.8</v>
      </c>
      <c r="E829">
        <v>304</v>
      </c>
      <c r="F829" s="1">
        <v>45692</v>
      </c>
      <c r="G829" s="1">
        <v>45696</v>
      </c>
      <c r="H829" t="s">
        <v>8</v>
      </c>
      <c r="I829" t="s">
        <v>3</v>
      </c>
      <c r="J829">
        <v>3</v>
      </c>
      <c r="K829" t="s">
        <v>4</v>
      </c>
      <c r="L829" t="s">
        <v>18</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908</v>
      </c>
      <c r="B830" t="s">
        <v>24</v>
      </c>
      <c r="C830">
        <v>5</v>
      </c>
      <c r="D830">
        <v>64.599999999999994</v>
      </c>
      <c r="E830">
        <v>323</v>
      </c>
      <c r="F830" s="1">
        <v>45692</v>
      </c>
      <c r="G830" s="1">
        <v>45693</v>
      </c>
      <c r="H830" t="s">
        <v>12</v>
      </c>
      <c r="I830" t="s">
        <v>36</v>
      </c>
      <c r="J830">
        <v>4</v>
      </c>
      <c r="K830" t="s">
        <v>4</v>
      </c>
      <c r="L830" t="s">
        <v>18</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909</v>
      </c>
      <c r="B831" t="s">
        <v>29</v>
      </c>
      <c r="C831">
        <v>1</v>
      </c>
      <c r="D831">
        <v>21.9</v>
      </c>
      <c r="E831">
        <v>21.9</v>
      </c>
      <c r="F831" s="1">
        <v>45692</v>
      </c>
      <c r="G831" s="1">
        <v>45695</v>
      </c>
      <c r="H831" t="s">
        <v>8</v>
      </c>
      <c r="I831" t="s">
        <v>20</v>
      </c>
      <c r="J831">
        <v>5</v>
      </c>
      <c r="K831" t="s">
        <v>4</v>
      </c>
      <c r="L831" t="s">
        <v>34</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910</v>
      </c>
      <c r="B832" t="s">
        <v>17</v>
      </c>
      <c r="C832">
        <v>12</v>
      </c>
      <c r="D832">
        <v>33.4</v>
      </c>
      <c r="E832">
        <v>400.79999999999995</v>
      </c>
      <c r="F832" s="1">
        <v>45692</v>
      </c>
      <c r="G832" s="1">
        <v>45694</v>
      </c>
      <c r="H832" t="s">
        <v>12</v>
      </c>
      <c r="I832" t="s">
        <v>3</v>
      </c>
      <c r="J832">
        <v>4</v>
      </c>
      <c r="K832" t="s">
        <v>4</v>
      </c>
      <c r="L832" t="s">
        <v>143</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911</v>
      </c>
      <c r="B833" t="s">
        <v>11</v>
      </c>
      <c r="C833">
        <v>1</v>
      </c>
      <c r="D833">
        <v>51.7</v>
      </c>
      <c r="E833">
        <v>51.7</v>
      </c>
      <c r="F833" s="1">
        <v>45692</v>
      </c>
      <c r="G833" s="1">
        <v>45693</v>
      </c>
      <c r="H833" t="s">
        <v>2</v>
      </c>
      <c r="I833" t="s">
        <v>3</v>
      </c>
      <c r="J833">
        <v>4</v>
      </c>
      <c r="K833" t="s">
        <v>4</v>
      </c>
      <c r="L833" t="s">
        <v>40</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912</v>
      </c>
      <c r="B834" t="s">
        <v>7</v>
      </c>
      <c r="C834">
        <v>4</v>
      </c>
      <c r="D834">
        <v>84.9</v>
      </c>
      <c r="E834">
        <v>339.6</v>
      </c>
      <c r="F834" s="1">
        <v>45692</v>
      </c>
      <c r="G834" s="1">
        <v>45693</v>
      </c>
      <c r="H834" t="s">
        <v>12</v>
      </c>
      <c r="I834" t="s">
        <v>20</v>
      </c>
      <c r="J834">
        <v>3</v>
      </c>
      <c r="K834" t="s">
        <v>4</v>
      </c>
      <c r="L834" t="s">
        <v>40</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913</v>
      </c>
      <c r="B835" t="s">
        <v>7</v>
      </c>
      <c r="C835">
        <v>11</v>
      </c>
      <c r="D835">
        <v>62.3</v>
      </c>
      <c r="E835">
        <v>685.3</v>
      </c>
      <c r="F835" s="1">
        <v>45692</v>
      </c>
      <c r="G835" s="1">
        <v>45693</v>
      </c>
      <c r="H835" t="s">
        <v>12</v>
      </c>
      <c r="I835" t="s">
        <v>25</v>
      </c>
      <c r="J835">
        <v>5</v>
      </c>
      <c r="K835" t="s">
        <v>4</v>
      </c>
      <c r="L835" t="s">
        <v>44</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914</v>
      </c>
      <c r="B836" t="s">
        <v>17</v>
      </c>
      <c r="C836">
        <v>1</v>
      </c>
      <c r="D836">
        <v>50.7</v>
      </c>
      <c r="E836">
        <v>50.7</v>
      </c>
      <c r="F836" s="1">
        <v>45692</v>
      </c>
      <c r="G836" s="1">
        <v>45694</v>
      </c>
      <c r="H836" t="s">
        <v>8</v>
      </c>
      <c r="I836" t="s">
        <v>25</v>
      </c>
      <c r="J836">
        <v>5</v>
      </c>
      <c r="K836" t="s">
        <v>4</v>
      </c>
      <c r="L836" t="s">
        <v>47</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915</v>
      </c>
      <c r="B837" t="s">
        <v>131</v>
      </c>
      <c r="C837">
        <v>1</v>
      </c>
      <c r="D837">
        <v>39.5</v>
      </c>
      <c r="E837">
        <v>39.5</v>
      </c>
      <c r="F837" s="1">
        <v>45692</v>
      </c>
      <c r="G837" s="1">
        <v>45693</v>
      </c>
      <c r="H837" t="s">
        <v>8</v>
      </c>
      <c r="I837" t="s">
        <v>55</v>
      </c>
      <c r="J837">
        <v>3</v>
      </c>
      <c r="K837" t="s">
        <v>4</v>
      </c>
      <c r="L837" t="s">
        <v>47</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916</v>
      </c>
      <c r="B838" t="s">
        <v>54</v>
      </c>
      <c r="C838">
        <v>3</v>
      </c>
      <c r="D838">
        <v>30.9</v>
      </c>
      <c r="E838">
        <v>92.699999999999989</v>
      </c>
      <c r="F838" s="1">
        <v>45692</v>
      </c>
      <c r="G838" s="1">
        <v>45693</v>
      </c>
      <c r="H838" t="s">
        <v>2</v>
      </c>
      <c r="I838" t="s">
        <v>55</v>
      </c>
      <c r="J838">
        <v>5</v>
      </c>
      <c r="K838" t="s">
        <v>4</v>
      </c>
      <c r="L838" t="s">
        <v>47</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917</v>
      </c>
      <c r="B839" t="s">
        <v>7</v>
      </c>
      <c r="C839">
        <v>7</v>
      </c>
      <c r="D839">
        <v>36.4</v>
      </c>
      <c r="E839">
        <v>254.79999999999998</v>
      </c>
      <c r="F839" s="1">
        <v>45692</v>
      </c>
      <c r="G839" s="1">
        <v>45695</v>
      </c>
      <c r="H839" t="s">
        <v>12</v>
      </c>
      <c r="I839" t="s">
        <v>3</v>
      </c>
      <c r="J839">
        <v>5</v>
      </c>
      <c r="K839" t="s">
        <v>4</v>
      </c>
      <c r="L839" t="s">
        <v>47</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918</v>
      </c>
      <c r="B840" t="s">
        <v>24</v>
      </c>
      <c r="C840">
        <v>8</v>
      </c>
      <c r="D840">
        <v>105.6</v>
      </c>
      <c r="E840">
        <v>844.8</v>
      </c>
      <c r="F840" s="1">
        <v>45692</v>
      </c>
      <c r="G840" s="1">
        <v>45702</v>
      </c>
      <c r="H840" t="s">
        <v>12</v>
      </c>
      <c r="I840" t="s">
        <v>3</v>
      </c>
      <c r="J840">
        <v>4</v>
      </c>
      <c r="K840" t="s">
        <v>4</v>
      </c>
      <c r="L840" t="s">
        <v>47</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919</v>
      </c>
      <c r="B841" t="s">
        <v>29</v>
      </c>
      <c r="C841">
        <v>2</v>
      </c>
      <c r="D841">
        <v>22.1</v>
      </c>
      <c r="E841">
        <v>44.2</v>
      </c>
      <c r="F841" s="1">
        <v>45692</v>
      </c>
      <c r="G841" s="1">
        <v>45693</v>
      </c>
      <c r="H841" t="s">
        <v>12</v>
      </c>
      <c r="I841" t="s">
        <v>3</v>
      </c>
      <c r="J841">
        <v>5</v>
      </c>
      <c r="K841" t="s">
        <v>4</v>
      </c>
      <c r="L841" t="s">
        <v>88</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920</v>
      </c>
      <c r="B842" t="s">
        <v>1</v>
      </c>
      <c r="C842">
        <v>3</v>
      </c>
      <c r="D842">
        <v>22.6</v>
      </c>
      <c r="E842">
        <v>67.800000000000011</v>
      </c>
      <c r="F842" s="1">
        <v>45692</v>
      </c>
      <c r="G842" s="1">
        <v>45693</v>
      </c>
      <c r="H842" t="s">
        <v>12</v>
      </c>
      <c r="I842" t="s">
        <v>25</v>
      </c>
      <c r="J842">
        <v>4</v>
      </c>
      <c r="K842" t="s">
        <v>4</v>
      </c>
      <c r="L842" t="s">
        <v>88</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921</v>
      </c>
      <c r="B843" t="s">
        <v>39</v>
      </c>
      <c r="C843">
        <v>6</v>
      </c>
      <c r="D843">
        <v>26.3</v>
      </c>
      <c r="E843">
        <v>157.80000000000001</v>
      </c>
      <c r="F843" s="1">
        <v>45692</v>
      </c>
      <c r="G843" s="1">
        <v>45692</v>
      </c>
      <c r="H843" t="s">
        <v>12</v>
      </c>
      <c r="I843" t="s">
        <v>25</v>
      </c>
      <c r="J843">
        <v>4</v>
      </c>
      <c r="K843" t="s">
        <v>4</v>
      </c>
      <c r="L843" t="s">
        <v>57</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922</v>
      </c>
      <c r="B844" t="s">
        <v>7</v>
      </c>
      <c r="C844">
        <v>4</v>
      </c>
      <c r="D844">
        <v>37.799999999999997</v>
      </c>
      <c r="E844">
        <v>151.19999999999999</v>
      </c>
      <c r="F844" s="1">
        <v>45692</v>
      </c>
      <c r="G844" s="1">
        <v>45693</v>
      </c>
      <c r="H844" t="s">
        <v>12</v>
      </c>
      <c r="I844" t="s">
        <v>3</v>
      </c>
      <c r="J844">
        <v>5</v>
      </c>
      <c r="K844" t="s">
        <v>4</v>
      </c>
      <c r="L844" t="s">
        <v>62</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923</v>
      </c>
      <c r="B845" t="s">
        <v>24</v>
      </c>
      <c r="C845">
        <v>17</v>
      </c>
      <c r="D845">
        <v>96</v>
      </c>
      <c r="E845">
        <v>1632</v>
      </c>
      <c r="F845" s="1">
        <v>45692</v>
      </c>
      <c r="G845" s="1">
        <v>45695</v>
      </c>
      <c r="H845" t="s">
        <v>12</v>
      </c>
      <c r="I845" t="s">
        <v>55</v>
      </c>
      <c r="J845">
        <v>3</v>
      </c>
      <c r="K845" t="s">
        <v>4</v>
      </c>
      <c r="L845" t="s">
        <v>93</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924</v>
      </c>
      <c r="B846" t="s">
        <v>7</v>
      </c>
      <c r="C846">
        <v>1</v>
      </c>
      <c r="D846">
        <v>83.6</v>
      </c>
      <c r="E846">
        <v>83.6</v>
      </c>
      <c r="F846" s="1">
        <v>45692</v>
      </c>
      <c r="G846" s="1">
        <v>45695</v>
      </c>
      <c r="H846" t="s">
        <v>12</v>
      </c>
      <c r="I846" t="s">
        <v>25</v>
      </c>
      <c r="J846">
        <v>3</v>
      </c>
      <c r="K846" t="s">
        <v>4</v>
      </c>
      <c r="L846" t="s">
        <v>95</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925</v>
      </c>
      <c r="B847" t="s">
        <v>11</v>
      </c>
      <c r="C847">
        <v>6</v>
      </c>
      <c r="D847">
        <v>72.599999999999994</v>
      </c>
      <c r="E847">
        <v>435.59999999999997</v>
      </c>
      <c r="F847" s="1">
        <v>45692</v>
      </c>
      <c r="G847" s="1">
        <v>45693</v>
      </c>
      <c r="H847" t="s">
        <v>12</v>
      </c>
      <c r="I847" t="s">
        <v>3</v>
      </c>
      <c r="J847">
        <v>4</v>
      </c>
      <c r="K847" t="s">
        <v>4</v>
      </c>
      <c r="L847" t="s">
        <v>100</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926</v>
      </c>
      <c r="B848" t="s">
        <v>22</v>
      </c>
      <c r="C848">
        <v>20</v>
      </c>
      <c r="D848">
        <v>69.099999999999994</v>
      </c>
      <c r="E848">
        <v>1382</v>
      </c>
      <c r="F848" s="1">
        <v>45693</v>
      </c>
      <c r="G848" s="1">
        <v>45699</v>
      </c>
      <c r="H848" t="s">
        <v>8</v>
      </c>
      <c r="I848" t="s">
        <v>3</v>
      </c>
      <c r="J848">
        <v>5</v>
      </c>
      <c r="K848" t="s">
        <v>4</v>
      </c>
      <c r="L848" t="s">
        <v>100</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927</v>
      </c>
      <c r="B849" t="s">
        <v>17</v>
      </c>
      <c r="C849">
        <v>2</v>
      </c>
      <c r="D849">
        <v>22.6</v>
      </c>
      <c r="E849">
        <v>45.2</v>
      </c>
      <c r="F849" s="1">
        <v>45693</v>
      </c>
      <c r="G849" s="1">
        <v>45695</v>
      </c>
      <c r="H849" t="s">
        <v>12</v>
      </c>
      <c r="I849" t="s">
        <v>20</v>
      </c>
      <c r="J849">
        <v>5</v>
      </c>
      <c r="K849" t="s">
        <v>4</v>
      </c>
      <c r="L849" t="s">
        <v>100</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928</v>
      </c>
      <c r="B850" t="s">
        <v>24</v>
      </c>
      <c r="C850">
        <v>2</v>
      </c>
      <c r="D850">
        <v>45.3</v>
      </c>
      <c r="E850">
        <v>90.6</v>
      </c>
      <c r="F850" s="1">
        <v>45693</v>
      </c>
      <c r="G850" s="1">
        <v>45697</v>
      </c>
      <c r="H850" t="s">
        <v>8</v>
      </c>
      <c r="I850" t="s">
        <v>55</v>
      </c>
      <c r="J850">
        <v>5</v>
      </c>
      <c r="K850" t="s">
        <v>4</v>
      </c>
      <c r="L850" t="s">
        <v>100</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929</v>
      </c>
      <c r="B851" t="s">
        <v>11</v>
      </c>
      <c r="C851">
        <v>2</v>
      </c>
      <c r="D851">
        <v>115.1</v>
      </c>
      <c r="E851">
        <v>230.2</v>
      </c>
      <c r="F851" s="1">
        <v>45693</v>
      </c>
      <c r="G851" s="1">
        <v>45694</v>
      </c>
      <c r="H851" t="s">
        <v>12</v>
      </c>
      <c r="I851" t="s">
        <v>20</v>
      </c>
      <c r="J851">
        <v>4</v>
      </c>
      <c r="K851" t="s">
        <v>4</v>
      </c>
      <c r="L851" t="s">
        <v>9</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930</v>
      </c>
      <c r="B852" t="s">
        <v>131</v>
      </c>
      <c r="C852">
        <v>4</v>
      </c>
      <c r="D852">
        <v>79</v>
      </c>
      <c r="E852">
        <v>316</v>
      </c>
      <c r="F852" s="1">
        <v>45693</v>
      </c>
      <c r="G852" s="1">
        <v>45695</v>
      </c>
      <c r="H852" t="s">
        <v>8</v>
      </c>
      <c r="I852" t="s">
        <v>25</v>
      </c>
      <c r="J852">
        <v>2</v>
      </c>
      <c r="K852" t="s">
        <v>4</v>
      </c>
      <c r="L852" t="s">
        <v>9</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931</v>
      </c>
      <c r="B853" t="s">
        <v>24</v>
      </c>
      <c r="C853">
        <v>5</v>
      </c>
      <c r="D853">
        <v>52.8</v>
      </c>
      <c r="E853">
        <v>264</v>
      </c>
      <c r="F853" s="1">
        <v>45693</v>
      </c>
      <c r="G853" s="1">
        <v>45694</v>
      </c>
      <c r="H853" t="s">
        <v>12</v>
      </c>
      <c r="I853" t="s">
        <v>3</v>
      </c>
      <c r="J853">
        <v>4</v>
      </c>
      <c r="K853" t="s">
        <v>4</v>
      </c>
      <c r="L853" t="s">
        <v>422</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932</v>
      </c>
      <c r="B854" t="s">
        <v>29</v>
      </c>
      <c r="C854">
        <v>2</v>
      </c>
      <c r="D854">
        <v>34.1</v>
      </c>
      <c r="E854">
        <v>68.2</v>
      </c>
      <c r="F854" s="1">
        <v>45693</v>
      </c>
      <c r="G854" s="1">
        <v>45694</v>
      </c>
      <c r="H854" t="s">
        <v>8</v>
      </c>
      <c r="I854" t="s">
        <v>36</v>
      </c>
      <c r="J854">
        <v>5</v>
      </c>
      <c r="K854" t="s">
        <v>4</v>
      </c>
      <c r="L854" t="s">
        <v>572</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933</v>
      </c>
      <c r="B855" t="s">
        <v>24</v>
      </c>
      <c r="C855">
        <v>5</v>
      </c>
      <c r="D855">
        <v>107.9</v>
      </c>
      <c r="E855">
        <v>539.5</v>
      </c>
      <c r="F855" s="1">
        <v>45693</v>
      </c>
      <c r="G855" s="1">
        <v>45693</v>
      </c>
      <c r="H855" t="s">
        <v>12</v>
      </c>
      <c r="I855" t="s">
        <v>3</v>
      </c>
      <c r="J855">
        <v>5</v>
      </c>
      <c r="K855" t="s">
        <v>4</v>
      </c>
      <c r="L855" t="s">
        <v>934</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935</v>
      </c>
      <c r="B856" t="s">
        <v>29</v>
      </c>
      <c r="C856">
        <v>13</v>
      </c>
      <c r="D856">
        <v>48.5</v>
      </c>
      <c r="E856">
        <v>630.5</v>
      </c>
      <c r="F856" s="1">
        <v>45693</v>
      </c>
      <c r="G856" s="1">
        <v>45693</v>
      </c>
      <c r="H856" t="s">
        <v>8</v>
      </c>
      <c r="I856" t="s">
        <v>25</v>
      </c>
      <c r="J856">
        <v>5</v>
      </c>
      <c r="K856" t="s">
        <v>4</v>
      </c>
      <c r="L856" t="s">
        <v>18</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936</v>
      </c>
      <c r="B857" t="s">
        <v>22</v>
      </c>
      <c r="C857">
        <v>3</v>
      </c>
      <c r="D857">
        <v>34.700000000000003</v>
      </c>
      <c r="E857">
        <v>104.10000000000001</v>
      </c>
      <c r="F857" s="1">
        <v>45693</v>
      </c>
      <c r="G857" s="1">
        <v>45694</v>
      </c>
      <c r="H857" t="s">
        <v>2</v>
      </c>
      <c r="I857" t="s">
        <v>55</v>
      </c>
      <c r="J857">
        <v>3</v>
      </c>
      <c r="K857" t="s">
        <v>4</v>
      </c>
      <c r="L857" t="s">
        <v>18</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937</v>
      </c>
      <c r="B858" t="s">
        <v>29</v>
      </c>
      <c r="C858">
        <v>1</v>
      </c>
      <c r="D858">
        <v>16.8</v>
      </c>
      <c r="E858">
        <v>16.8</v>
      </c>
      <c r="F858" s="1">
        <v>45693</v>
      </c>
      <c r="G858" s="1">
        <v>45695</v>
      </c>
      <c r="H858" t="s">
        <v>12</v>
      </c>
      <c r="I858" t="s">
        <v>36</v>
      </c>
      <c r="J858">
        <v>4</v>
      </c>
      <c r="K858" t="s">
        <v>4</v>
      </c>
      <c r="L858" t="s">
        <v>18</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938</v>
      </c>
      <c r="B859" t="s">
        <v>29</v>
      </c>
      <c r="C859">
        <v>6</v>
      </c>
      <c r="D859">
        <v>18.3</v>
      </c>
      <c r="E859">
        <v>109.80000000000001</v>
      </c>
      <c r="F859" s="1">
        <v>45693</v>
      </c>
      <c r="G859" s="1">
        <v>45696</v>
      </c>
      <c r="H859" t="s">
        <v>12</v>
      </c>
      <c r="I859" t="s">
        <v>3</v>
      </c>
      <c r="J859">
        <v>4</v>
      </c>
      <c r="K859" t="s">
        <v>4</v>
      </c>
      <c r="L859" t="s">
        <v>18</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939</v>
      </c>
      <c r="B860" t="s">
        <v>131</v>
      </c>
      <c r="C860">
        <v>3</v>
      </c>
      <c r="D860">
        <v>55.9</v>
      </c>
      <c r="E860">
        <v>167.7</v>
      </c>
      <c r="F860" s="1">
        <v>45693</v>
      </c>
      <c r="G860" s="1">
        <v>45699</v>
      </c>
      <c r="H860" t="s">
        <v>8</v>
      </c>
      <c r="I860" t="s">
        <v>36</v>
      </c>
      <c r="J860">
        <v>3</v>
      </c>
      <c r="K860" t="s">
        <v>4</v>
      </c>
      <c r="L860" t="s">
        <v>18</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940</v>
      </c>
      <c r="B861" t="s">
        <v>29</v>
      </c>
      <c r="C861">
        <v>3</v>
      </c>
      <c r="D861">
        <v>39.200000000000003</v>
      </c>
      <c r="E861">
        <v>117.60000000000001</v>
      </c>
      <c r="F861" s="1">
        <v>45693</v>
      </c>
      <c r="G861" s="1">
        <v>45695</v>
      </c>
      <c r="H861" t="s">
        <v>12</v>
      </c>
      <c r="I861" t="s">
        <v>3</v>
      </c>
      <c r="J861">
        <v>3</v>
      </c>
      <c r="K861" t="s">
        <v>4</v>
      </c>
      <c r="L861" t="s">
        <v>18</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941</v>
      </c>
      <c r="B862" t="s">
        <v>108</v>
      </c>
      <c r="C862">
        <v>4</v>
      </c>
      <c r="D862">
        <v>66.5</v>
      </c>
      <c r="E862">
        <v>266</v>
      </c>
      <c r="F862" s="1">
        <v>45693</v>
      </c>
      <c r="G862" s="1">
        <v>45695</v>
      </c>
      <c r="H862" t="s">
        <v>2</v>
      </c>
      <c r="I862" t="s">
        <v>36</v>
      </c>
      <c r="J862">
        <v>3</v>
      </c>
      <c r="K862" t="s">
        <v>4</v>
      </c>
      <c r="L862" t="s">
        <v>18</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942</v>
      </c>
      <c r="B863" t="s">
        <v>24</v>
      </c>
      <c r="C863">
        <v>6</v>
      </c>
      <c r="D863">
        <v>52.1</v>
      </c>
      <c r="E863">
        <v>312.60000000000002</v>
      </c>
      <c r="F863" s="1">
        <v>45693</v>
      </c>
      <c r="G863" s="1">
        <v>45695</v>
      </c>
      <c r="H863" t="s">
        <v>8</v>
      </c>
      <c r="I863" t="s">
        <v>20</v>
      </c>
      <c r="J863">
        <v>3</v>
      </c>
      <c r="K863" t="s">
        <v>4</v>
      </c>
      <c r="L863" t="s">
        <v>83</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943</v>
      </c>
      <c r="B864" t="s">
        <v>29</v>
      </c>
      <c r="C864">
        <v>2</v>
      </c>
      <c r="D864">
        <v>19</v>
      </c>
      <c r="E864">
        <v>38</v>
      </c>
      <c r="F864" s="1">
        <v>45693</v>
      </c>
      <c r="G864" s="1">
        <v>45694</v>
      </c>
      <c r="H864" t="s">
        <v>8</v>
      </c>
      <c r="I864" t="s">
        <v>55</v>
      </c>
      <c r="J864">
        <v>5</v>
      </c>
      <c r="K864" t="s">
        <v>4</v>
      </c>
      <c r="L864" t="s">
        <v>40</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944</v>
      </c>
      <c r="B865" t="s">
        <v>27</v>
      </c>
      <c r="C865">
        <v>3</v>
      </c>
      <c r="D865">
        <v>84.8</v>
      </c>
      <c r="E865">
        <v>254.39999999999998</v>
      </c>
      <c r="F865" s="1">
        <v>45693</v>
      </c>
      <c r="G865" s="1">
        <v>45695</v>
      </c>
      <c r="H865" t="s">
        <v>12</v>
      </c>
      <c r="I865" t="s">
        <v>25</v>
      </c>
      <c r="J865">
        <v>4</v>
      </c>
      <c r="K865" t="s">
        <v>4</v>
      </c>
      <c r="L865" t="s">
        <v>47</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945</v>
      </c>
      <c r="B866" t="s">
        <v>11</v>
      </c>
      <c r="C866">
        <v>4</v>
      </c>
      <c r="D866">
        <v>63.9</v>
      </c>
      <c r="E866">
        <v>255.6</v>
      </c>
      <c r="F866" s="1">
        <v>45693</v>
      </c>
      <c r="G866" s="1">
        <v>45696</v>
      </c>
      <c r="H866" t="s">
        <v>12</v>
      </c>
      <c r="I866" t="s">
        <v>3</v>
      </c>
      <c r="J866">
        <v>4</v>
      </c>
      <c r="K866" t="s">
        <v>4</v>
      </c>
      <c r="L866" t="s">
        <v>47</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946</v>
      </c>
      <c r="B867" t="s">
        <v>11</v>
      </c>
      <c r="C867">
        <v>3</v>
      </c>
      <c r="D867">
        <v>65.5</v>
      </c>
      <c r="E867">
        <v>196.5</v>
      </c>
      <c r="F867" s="1">
        <v>45693</v>
      </c>
      <c r="G867" s="1">
        <v>45693</v>
      </c>
      <c r="H867" t="s">
        <v>12</v>
      </c>
      <c r="I867" t="s">
        <v>20</v>
      </c>
      <c r="J867">
        <v>3</v>
      </c>
      <c r="K867" t="s">
        <v>4</v>
      </c>
      <c r="L867" t="s">
        <v>47</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947</v>
      </c>
      <c r="B868" t="s">
        <v>54</v>
      </c>
      <c r="C868">
        <v>2</v>
      </c>
      <c r="D868">
        <v>116.2</v>
      </c>
      <c r="E868">
        <v>232.4</v>
      </c>
      <c r="F868" s="1">
        <v>45693</v>
      </c>
      <c r="G868" s="1">
        <v>45699</v>
      </c>
      <c r="H868" t="s">
        <v>8</v>
      </c>
      <c r="I868" t="s">
        <v>36</v>
      </c>
      <c r="J868">
        <v>4</v>
      </c>
      <c r="K868" t="s">
        <v>4</v>
      </c>
      <c r="L868" t="s">
        <v>88</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948</v>
      </c>
      <c r="B869" t="s">
        <v>39</v>
      </c>
      <c r="C869">
        <v>4</v>
      </c>
      <c r="D869">
        <v>22.9</v>
      </c>
      <c r="E869">
        <v>91.6</v>
      </c>
      <c r="F869" s="1">
        <v>45693</v>
      </c>
      <c r="G869" s="1">
        <v>45695</v>
      </c>
      <c r="H869" t="s">
        <v>12</v>
      </c>
      <c r="I869" t="s">
        <v>25</v>
      </c>
      <c r="J869">
        <v>3</v>
      </c>
      <c r="K869" t="s">
        <v>4</v>
      </c>
      <c r="L869" t="s">
        <v>362</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949</v>
      </c>
      <c r="B870" t="s">
        <v>39</v>
      </c>
      <c r="C870">
        <v>3</v>
      </c>
      <c r="D870">
        <v>53.7</v>
      </c>
      <c r="E870">
        <v>161.10000000000002</v>
      </c>
      <c r="F870" s="1">
        <v>45693</v>
      </c>
      <c r="G870" s="1">
        <v>45694</v>
      </c>
      <c r="H870" t="s">
        <v>8</v>
      </c>
      <c r="I870" t="s">
        <v>3</v>
      </c>
      <c r="J870">
        <v>2</v>
      </c>
      <c r="K870" t="s">
        <v>4</v>
      </c>
      <c r="L870" t="s">
        <v>93</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950</v>
      </c>
      <c r="B871" t="s">
        <v>24</v>
      </c>
      <c r="C871">
        <v>5</v>
      </c>
      <c r="D871">
        <v>43.2</v>
      </c>
      <c r="E871">
        <v>216</v>
      </c>
      <c r="F871" s="1">
        <v>45693</v>
      </c>
      <c r="G871" s="1">
        <v>45695</v>
      </c>
      <c r="H871" t="s">
        <v>12</v>
      </c>
      <c r="I871" t="s">
        <v>3</v>
      </c>
      <c r="J871">
        <v>4</v>
      </c>
      <c r="K871" t="s">
        <v>4</v>
      </c>
      <c r="L871" t="s">
        <v>95</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951</v>
      </c>
      <c r="B872" t="s">
        <v>7</v>
      </c>
      <c r="C872">
        <v>3</v>
      </c>
      <c r="D872">
        <v>84.5</v>
      </c>
      <c r="E872">
        <v>253.5</v>
      </c>
      <c r="F872" s="1">
        <v>45693</v>
      </c>
      <c r="G872" s="1">
        <v>45695</v>
      </c>
      <c r="H872" t="s">
        <v>8</v>
      </c>
      <c r="I872" t="s">
        <v>25</v>
      </c>
      <c r="J872">
        <v>5</v>
      </c>
      <c r="K872" t="s">
        <v>4</v>
      </c>
      <c r="L872" t="s">
        <v>952</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953</v>
      </c>
      <c r="B873" t="s">
        <v>15</v>
      </c>
      <c r="C873">
        <v>2</v>
      </c>
      <c r="D873">
        <v>42.2</v>
      </c>
      <c r="E873">
        <v>84.4</v>
      </c>
      <c r="F873" s="1">
        <v>45693</v>
      </c>
      <c r="G873" s="1">
        <v>45694</v>
      </c>
      <c r="H873" t="s">
        <v>12</v>
      </c>
      <c r="I873" t="s">
        <v>20</v>
      </c>
      <c r="J873">
        <v>5</v>
      </c>
      <c r="K873" t="s">
        <v>4</v>
      </c>
      <c r="L873" t="s">
        <v>9</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954</v>
      </c>
      <c r="B874" t="s">
        <v>11</v>
      </c>
      <c r="C874">
        <v>6</v>
      </c>
      <c r="D874">
        <v>94.7</v>
      </c>
      <c r="E874">
        <v>568.20000000000005</v>
      </c>
      <c r="F874" s="1">
        <v>45693</v>
      </c>
      <c r="G874" s="1">
        <v>45696</v>
      </c>
      <c r="H874" t="s">
        <v>12</v>
      </c>
      <c r="I874" t="s">
        <v>20</v>
      </c>
      <c r="J874">
        <v>5</v>
      </c>
      <c r="K874" t="s">
        <v>4</v>
      </c>
      <c r="L874" t="s">
        <v>13</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955</v>
      </c>
      <c r="B875" t="s">
        <v>29</v>
      </c>
      <c r="C875">
        <v>18</v>
      </c>
      <c r="D875">
        <v>16.7</v>
      </c>
      <c r="E875">
        <v>300.59999999999997</v>
      </c>
      <c r="F875" s="1">
        <v>45693</v>
      </c>
      <c r="G875" s="1">
        <v>45705</v>
      </c>
      <c r="H875" t="s">
        <v>12</v>
      </c>
      <c r="I875" t="s">
        <v>3</v>
      </c>
      <c r="J875">
        <v>5</v>
      </c>
      <c r="K875" t="s">
        <v>4</v>
      </c>
      <c r="L875" t="s">
        <v>13</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956</v>
      </c>
      <c r="B876" t="s">
        <v>11</v>
      </c>
      <c r="C876">
        <v>2</v>
      </c>
      <c r="D876">
        <v>83.6</v>
      </c>
      <c r="E876">
        <v>167.2</v>
      </c>
      <c r="F876" s="1">
        <v>45693</v>
      </c>
      <c r="G876" s="1">
        <v>45699</v>
      </c>
      <c r="H876" t="s">
        <v>12</v>
      </c>
      <c r="I876" t="s">
        <v>20</v>
      </c>
      <c r="J876">
        <v>4</v>
      </c>
      <c r="K876" t="s">
        <v>4</v>
      </c>
      <c r="L876" t="s">
        <v>18</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957</v>
      </c>
      <c r="B877" t="s">
        <v>27</v>
      </c>
      <c r="C877">
        <v>6</v>
      </c>
      <c r="D877">
        <v>33.6</v>
      </c>
      <c r="E877">
        <v>201.60000000000002</v>
      </c>
      <c r="F877" s="1">
        <v>45694</v>
      </c>
      <c r="G877" s="1">
        <v>45695</v>
      </c>
      <c r="H877" t="s">
        <v>12</v>
      </c>
      <c r="I877" t="s">
        <v>36</v>
      </c>
      <c r="J877">
        <v>4</v>
      </c>
      <c r="K877" t="s">
        <v>4</v>
      </c>
      <c r="L877" t="s">
        <v>18</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958</v>
      </c>
      <c r="B878" t="s">
        <v>27</v>
      </c>
      <c r="C878">
        <v>2</v>
      </c>
      <c r="D878">
        <v>64.7</v>
      </c>
      <c r="E878">
        <v>129.4</v>
      </c>
      <c r="F878" s="1">
        <v>45694</v>
      </c>
      <c r="G878" s="1">
        <v>45696</v>
      </c>
      <c r="H878" t="s">
        <v>8</v>
      </c>
      <c r="I878" t="s">
        <v>20</v>
      </c>
      <c r="J878">
        <v>5</v>
      </c>
      <c r="K878" t="s">
        <v>4</v>
      </c>
      <c r="L878" t="s">
        <v>18</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959</v>
      </c>
      <c r="B879" t="s">
        <v>1</v>
      </c>
      <c r="C879">
        <v>3</v>
      </c>
      <c r="D879">
        <v>15.7</v>
      </c>
      <c r="E879">
        <v>47.099999999999994</v>
      </c>
      <c r="F879" s="1">
        <v>45694</v>
      </c>
      <c r="G879" s="1">
        <v>45700</v>
      </c>
      <c r="H879" t="s">
        <v>12</v>
      </c>
      <c r="I879" t="s">
        <v>3</v>
      </c>
      <c r="J879">
        <v>4</v>
      </c>
      <c r="K879" t="s">
        <v>4</v>
      </c>
      <c r="L879" t="s">
        <v>18</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960</v>
      </c>
      <c r="B880" t="s">
        <v>108</v>
      </c>
      <c r="C880">
        <v>6</v>
      </c>
      <c r="D880">
        <v>49.4</v>
      </c>
      <c r="E880">
        <v>296.39999999999998</v>
      </c>
      <c r="F880" s="1">
        <v>45694</v>
      </c>
      <c r="G880" s="1">
        <v>45694</v>
      </c>
      <c r="H880" t="s">
        <v>8</v>
      </c>
      <c r="I880" t="s">
        <v>20</v>
      </c>
      <c r="J880">
        <v>4</v>
      </c>
      <c r="K880" t="s">
        <v>4</v>
      </c>
      <c r="L880" t="s">
        <v>18</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961</v>
      </c>
      <c r="B881" t="s">
        <v>39</v>
      </c>
      <c r="C881">
        <v>6</v>
      </c>
      <c r="D881">
        <v>37</v>
      </c>
      <c r="E881">
        <v>222</v>
      </c>
      <c r="F881" s="1">
        <v>45694</v>
      </c>
      <c r="G881" s="1">
        <v>45697</v>
      </c>
      <c r="H881" t="s">
        <v>12</v>
      </c>
      <c r="I881" t="s">
        <v>20</v>
      </c>
      <c r="J881">
        <v>5</v>
      </c>
      <c r="K881" t="s">
        <v>4</v>
      </c>
      <c r="L881" t="s">
        <v>18</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962</v>
      </c>
      <c r="B882" t="s">
        <v>11</v>
      </c>
      <c r="C882">
        <v>2</v>
      </c>
      <c r="D882">
        <v>83.7</v>
      </c>
      <c r="E882">
        <v>167.4</v>
      </c>
      <c r="F882" s="1">
        <v>45694</v>
      </c>
      <c r="G882" s="1">
        <v>45696</v>
      </c>
      <c r="H882" t="s">
        <v>12</v>
      </c>
      <c r="I882" t="s">
        <v>36</v>
      </c>
      <c r="J882">
        <v>5</v>
      </c>
      <c r="K882" t="s">
        <v>4</v>
      </c>
      <c r="L882" t="s">
        <v>18</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963</v>
      </c>
      <c r="B883" t="s">
        <v>7</v>
      </c>
      <c r="C883">
        <v>5</v>
      </c>
      <c r="D883">
        <v>35.1</v>
      </c>
      <c r="E883">
        <v>175.5</v>
      </c>
      <c r="F883" s="1">
        <v>45694</v>
      </c>
      <c r="G883" s="1">
        <v>45695</v>
      </c>
      <c r="H883" t="s">
        <v>12</v>
      </c>
      <c r="I883" t="s">
        <v>3</v>
      </c>
      <c r="J883">
        <v>4</v>
      </c>
      <c r="K883" t="s">
        <v>4</v>
      </c>
      <c r="L883" t="s">
        <v>18</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964</v>
      </c>
      <c r="B884" t="s">
        <v>113</v>
      </c>
      <c r="C884">
        <v>8</v>
      </c>
      <c r="D884">
        <v>74</v>
      </c>
      <c r="E884">
        <v>592</v>
      </c>
      <c r="F884" s="1">
        <v>45694</v>
      </c>
      <c r="G884" s="1">
        <v>45695</v>
      </c>
      <c r="H884" t="s">
        <v>12</v>
      </c>
      <c r="I884" t="s">
        <v>55</v>
      </c>
      <c r="J884">
        <v>4</v>
      </c>
      <c r="K884" t="s">
        <v>4</v>
      </c>
      <c r="L884" t="s">
        <v>349</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965</v>
      </c>
      <c r="B885" t="s">
        <v>24</v>
      </c>
      <c r="C885">
        <v>24</v>
      </c>
      <c r="D885">
        <v>55.5</v>
      </c>
      <c r="E885">
        <v>1332</v>
      </c>
      <c r="F885" s="1">
        <v>45694</v>
      </c>
      <c r="G885" s="1">
        <v>45697</v>
      </c>
      <c r="H885" t="s">
        <v>8</v>
      </c>
      <c r="I885" t="s">
        <v>36</v>
      </c>
      <c r="J885">
        <v>4</v>
      </c>
      <c r="K885" t="s">
        <v>4</v>
      </c>
      <c r="L885" t="s">
        <v>787</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966</v>
      </c>
      <c r="B886" t="s">
        <v>52</v>
      </c>
      <c r="C886">
        <v>2</v>
      </c>
      <c r="D886">
        <v>38.9</v>
      </c>
      <c r="E886">
        <v>77.8</v>
      </c>
      <c r="F886" s="1">
        <v>45694</v>
      </c>
      <c r="G886" s="1">
        <v>45696</v>
      </c>
      <c r="H886" t="s">
        <v>12</v>
      </c>
      <c r="I886" t="s">
        <v>20</v>
      </c>
      <c r="J886">
        <v>5</v>
      </c>
      <c r="K886" t="s">
        <v>4</v>
      </c>
      <c r="L886" t="s">
        <v>173</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967</v>
      </c>
      <c r="B887" t="s">
        <v>113</v>
      </c>
      <c r="C887">
        <v>2</v>
      </c>
      <c r="D887">
        <v>64.599999999999994</v>
      </c>
      <c r="E887">
        <v>129.19999999999999</v>
      </c>
      <c r="F887" s="1">
        <v>45694</v>
      </c>
      <c r="G887" s="1">
        <v>45701</v>
      </c>
      <c r="H887" t="s">
        <v>8</v>
      </c>
      <c r="I887" t="s">
        <v>25</v>
      </c>
      <c r="J887">
        <v>3</v>
      </c>
      <c r="K887" t="s">
        <v>4</v>
      </c>
      <c r="L887" t="s">
        <v>173</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968</v>
      </c>
      <c r="B888" t="s">
        <v>11</v>
      </c>
      <c r="C888">
        <v>3</v>
      </c>
      <c r="D888">
        <v>95.3</v>
      </c>
      <c r="E888">
        <v>285.89999999999998</v>
      </c>
      <c r="F888" s="1">
        <v>45694</v>
      </c>
      <c r="G888" s="1">
        <v>45695</v>
      </c>
      <c r="H888" t="s">
        <v>8</v>
      </c>
      <c r="I888" t="s">
        <v>3</v>
      </c>
      <c r="J888">
        <v>4</v>
      </c>
      <c r="K888" t="s">
        <v>4</v>
      </c>
      <c r="L888" t="s">
        <v>37</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969</v>
      </c>
      <c r="B889" t="s">
        <v>61</v>
      </c>
      <c r="C889">
        <v>3</v>
      </c>
      <c r="D889">
        <v>25.8</v>
      </c>
      <c r="E889">
        <v>77.400000000000006</v>
      </c>
      <c r="F889" s="1">
        <v>45694</v>
      </c>
      <c r="G889" s="1">
        <v>45695</v>
      </c>
      <c r="H889" t="s">
        <v>12</v>
      </c>
      <c r="I889" t="s">
        <v>20</v>
      </c>
      <c r="J889">
        <v>3</v>
      </c>
      <c r="K889" t="s">
        <v>4</v>
      </c>
      <c r="L889" t="s">
        <v>40</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970</v>
      </c>
      <c r="B890" t="s">
        <v>1</v>
      </c>
      <c r="C890">
        <v>2</v>
      </c>
      <c r="D890">
        <v>11.6</v>
      </c>
      <c r="E890">
        <v>23.2</v>
      </c>
      <c r="F890" s="1">
        <v>45694</v>
      </c>
      <c r="G890" s="1">
        <v>45698</v>
      </c>
      <c r="H890" t="s">
        <v>12</v>
      </c>
      <c r="I890" t="s">
        <v>20</v>
      </c>
      <c r="J890">
        <v>3</v>
      </c>
      <c r="K890" t="s">
        <v>4</v>
      </c>
      <c r="L890" t="s">
        <v>40</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971</v>
      </c>
      <c r="B891" t="s">
        <v>27</v>
      </c>
      <c r="C891">
        <v>1</v>
      </c>
      <c r="D891">
        <v>52.3</v>
      </c>
      <c r="E891">
        <v>52.3</v>
      </c>
      <c r="F891" s="1">
        <v>45694</v>
      </c>
      <c r="G891" s="1">
        <v>45695</v>
      </c>
      <c r="H891" t="s">
        <v>12</v>
      </c>
      <c r="I891" t="s">
        <v>20</v>
      </c>
      <c r="J891">
        <v>4</v>
      </c>
      <c r="K891" t="s">
        <v>4</v>
      </c>
      <c r="L891" t="s">
        <v>47</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972</v>
      </c>
      <c r="B892" t="s">
        <v>11</v>
      </c>
      <c r="C892">
        <v>10</v>
      </c>
      <c r="D892">
        <v>112.2</v>
      </c>
      <c r="E892">
        <v>1122</v>
      </c>
      <c r="F892" s="1">
        <v>45694</v>
      </c>
      <c r="G892" s="1">
        <v>45695</v>
      </c>
      <c r="H892" t="s">
        <v>12</v>
      </c>
      <c r="I892" t="s">
        <v>20</v>
      </c>
      <c r="J892">
        <v>3</v>
      </c>
      <c r="K892" t="s">
        <v>4</v>
      </c>
      <c r="L892" t="s">
        <v>47</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973</v>
      </c>
      <c r="B893" t="s">
        <v>17</v>
      </c>
      <c r="C893">
        <v>5</v>
      </c>
      <c r="D893">
        <v>34.6</v>
      </c>
      <c r="E893">
        <v>173</v>
      </c>
      <c r="F893" s="1">
        <v>45694</v>
      </c>
      <c r="G893" s="1">
        <v>45696</v>
      </c>
      <c r="H893" t="s">
        <v>8</v>
      </c>
      <c r="I893" t="s">
        <v>25</v>
      </c>
      <c r="J893">
        <v>4</v>
      </c>
      <c r="K893" t="s">
        <v>4</v>
      </c>
      <c r="L893" t="s">
        <v>47</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974</v>
      </c>
      <c r="B894" t="s">
        <v>66</v>
      </c>
      <c r="C894">
        <v>4</v>
      </c>
      <c r="D894">
        <v>20.100000000000001</v>
      </c>
      <c r="E894">
        <v>80.400000000000006</v>
      </c>
      <c r="F894" s="1">
        <v>45694</v>
      </c>
      <c r="G894" s="1">
        <v>45700</v>
      </c>
      <c r="H894" t="s">
        <v>8</v>
      </c>
      <c r="I894" t="s">
        <v>20</v>
      </c>
      <c r="J894">
        <v>5</v>
      </c>
      <c r="K894" t="s">
        <v>4</v>
      </c>
      <c r="L894" t="s">
        <v>47</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975</v>
      </c>
      <c r="B895" t="s">
        <v>11</v>
      </c>
      <c r="C895">
        <v>4</v>
      </c>
      <c r="D895">
        <v>56.4</v>
      </c>
      <c r="E895">
        <v>225.6</v>
      </c>
      <c r="F895" s="1">
        <v>45694</v>
      </c>
      <c r="G895" s="1">
        <v>45696</v>
      </c>
      <c r="H895" t="s">
        <v>12</v>
      </c>
      <c r="I895" t="s">
        <v>25</v>
      </c>
      <c r="J895">
        <v>4</v>
      </c>
      <c r="K895" t="s">
        <v>4</v>
      </c>
      <c r="L895" t="s">
        <v>59</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976</v>
      </c>
      <c r="B896" t="s">
        <v>61</v>
      </c>
      <c r="C896">
        <v>9</v>
      </c>
      <c r="D896">
        <v>55.3</v>
      </c>
      <c r="E896">
        <v>497.7</v>
      </c>
      <c r="F896" s="1">
        <v>45694</v>
      </c>
      <c r="G896" s="1">
        <v>45696</v>
      </c>
      <c r="H896" t="s">
        <v>12</v>
      </c>
      <c r="I896" t="s">
        <v>20</v>
      </c>
      <c r="J896">
        <v>2</v>
      </c>
      <c r="K896" t="s">
        <v>4</v>
      </c>
      <c r="L896" t="s">
        <v>62</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977</v>
      </c>
      <c r="B897" t="s">
        <v>11</v>
      </c>
      <c r="C897">
        <v>28</v>
      </c>
      <c r="D897">
        <v>75.5</v>
      </c>
      <c r="E897">
        <v>2114</v>
      </c>
      <c r="F897" s="1">
        <v>45694</v>
      </c>
      <c r="G897" s="1">
        <v>45695</v>
      </c>
      <c r="H897" t="s">
        <v>12</v>
      </c>
      <c r="I897" t="s">
        <v>3</v>
      </c>
      <c r="J897">
        <v>4</v>
      </c>
      <c r="K897" t="s">
        <v>4</v>
      </c>
      <c r="L897" t="s">
        <v>62</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978</v>
      </c>
      <c r="B898" t="s">
        <v>29</v>
      </c>
      <c r="C898">
        <v>1</v>
      </c>
      <c r="D898">
        <v>23.6</v>
      </c>
      <c r="E898">
        <v>23.6</v>
      </c>
      <c r="F898" s="1">
        <v>45694</v>
      </c>
      <c r="G898" s="1">
        <v>45699</v>
      </c>
      <c r="H898" t="s">
        <v>12</v>
      </c>
      <c r="I898" t="s">
        <v>3</v>
      </c>
      <c r="J898">
        <v>4</v>
      </c>
      <c r="K898" t="s">
        <v>4</v>
      </c>
      <c r="L898" t="s">
        <v>95</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979</v>
      </c>
      <c r="B899" t="s">
        <v>31</v>
      </c>
      <c r="C899">
        <v>2</v>
      </c>
      <c r="D899">
        <v>70.7</v>
      </c>
      <c r="E899">
        <v>141.4</v>
      </c>
      <c r="F899" s="1">
        <v>45694</v>
      </c>
      <c r="G899" s="1">
        <v>45696</v>
      </c>
      <c r="H899" t="s">
        <v>12</v>
      </c>
      <c r="I899" t="s">
        <v>25</v>
      </c>
      <c r="J899">
        <v>4</v>
      </c>
      <c r="K899" t="s">
        <v>4</v>
      </c>
      <c r="L899" t="s">
        <v>95</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980</v>
      </c>
      <c r="B900" t="s">
        <v>54</v>
      </c>
      <c r="C900">
        <v>2</v>
      </c>
      <c r="D900">
        <v>43.2</v>
      </c>
      <c r="E900">
        <v>86.4</v>
      </c>
      <c r="F900" s="1">
        <v>45694</v>
      </c>
      <c r="G900" s="1">
        <v>45695</v>
      </c>
      <c r="H900" t="s">
        <v>12</v>
      </c>
      <c r="I900" t="s">
        <v>25</v>
      </c>
      <c r="J900">
        <v>4</v>
      </c>
      <c r="K900" t="s">
        <v>4</v>
      </c>
      <c r="L900" t="s">
        <v>277</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981</v>
      </c>
      <c r="B901" t="s">
        <v>31</v>
      </c>
      <c r="C901">
        <v>9</v>
      </c>
      <c r="D901">
        <v>70</v>
      </c>
      <c r="E901">
        <v>630</v>
      </c>
      <c r="F901" s="1">
        <v>45694</v>
      </c>
      <c r="G901" s="1">
        <v>45695</v>
      </c>
      <c r="H901" t="s">
        <v>2</v>
      </c>
      <c r="I901" t="s">
        <v>20</v>
      </c>
      <c r="J901">
        <v>4</v>
      </c>
      <c r="K901" t="s">
        <v>4</v>
      </c>
      <c r="L901" t="s">
        <v>982</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983</v>
      </c>
      <c r="B902" t="s">
        <v>1</v>
      </c>
      <c r="C902">
        <v>2</v>
      </c>
      <c r="D902">
        <v>20.5</v>
      </c>
      <c r="E902">
        <v>41</v>
      </c>
      <c r="F902" s="1">
        <v>45694</v>
      </c>
      <c r="G902" s="1">
        <v>45696</v>
      </c>
      <c r="H902" t="s">
        <v>12</v>
      </c>
      <c r="I902" t="s">
        <v>25</v>
      </c>
      <c r="J902">
        <v>2</v>
      </c>
      <c r="K902" t="s">
        <v>4</v>
      </c>
      <c r="L902" t="s">
        <v>67</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984</v>
      </c>
      <c r="B903" t="s">
        <v>1</v>
      </c>
      <c r="C903">
        <v>4</v>
      </c>
      <c r="D903">
        <v>29.1</v>
      </c>
      <c r="E903">
        <v>116.4</v>
      </c>
      <c r="F903" s="1">
        <v>45694</v>
      </c>
      <c r="G903" s="1">
        <v>45695</v>
      </c>
      <c r="H903" t="s">
        <v>12</v>
      </c>
      <c r="I903" t="s">
        <v>36</v>
      </c>
      <c r="J903">
        <v>4</v>
      </c>
      <c r="K903" t="s">
        <v>4</v>
      </c>
      <c r="L903" t="s">
        <v>228</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985</v>
      </c>
      <c r="B904" t="s">
        <v>24</v>
      </c>
      <c r="C904">
        <v>9</v>
      </c>
      <c r="D904">
        <v>53.6</v>
      </c>
      <c r="E904">
        <v>482.40000000000003</v>
      </c>
      <c r="F904" s="1">
        <v>45694</v>
      </c>
      <c r="G904" s="1">
        <v>45695</v>
      </c>
      <c r="H904" t="s">
        <v>8</v>
      </c>
      <c r="I904" t="s">
        <v>25</v>
      </c>
      <c r="J904">
        <v>3</v>
      </c>
      <c r="K904" t="s">
        <v>4</v>
      </c>
      <c r="L904" t="s">
        <v>18</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986</v>
      </c>
      <c r="B905" t="s">
        <v>24</v>
      </c>
      <c r="C905">
        <v>5</v>
      </c>
      <c r="D905">
        <v>72.3</v>
      </c>
      <c r="E905">
        <v>361.5</v>
      </c>
      <c r="F905" s="1">
        <v>45694</v>
      </c>
      <c r="G905" s="1">
        <v>45696</v>
      </c>
      <c r="H905" t="s">
        <v>12</v>
      </c>
      <c r="I905" t="s">
        <v>20</v>
      </c>
      <c r="J905">
        <v>4</v>
      </c>
      <c r="K905" t="s">
        <v>4</v>
      </c>
      <c r="L905" t="s">
        <v>18</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987</v>
      </c>
      <c r="B906" t="s">
        <v>61</v>
      </c>
      <c r="C906">
        <v>4</v>
      </c>
      <c r="D906">
        <v>22.6</v>
      </c>
      <c r="E906">
        <v>90.4</v>
      </c>
      <c r="F906" s="1">
        <v>45694</v>
      </c>
      <c r="G906" s="1">
        <v>45697</v>
      </c>
      <c r="H906" t="s">
        <v>74</v>
      </c>
      <c r="I906" t="s">
        <v>3</v>
      </c>
      <c r="J906">
        <v>3</v>
      </c>
      <c r="K906" t="s">
        <v>4</v>
      </c>
      <c r="L906" t="s">
        <v>18</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988</v>
      </c>
      <c r="B907" t="s">
        <v>31</v>
      </c>
      <c r="C907">
        <v>2</v>
      </c>
      <c r="D907">
        <v>44.2</v>
      </c>
      <c r="E907">
        <v>88.4</v>
      </c>
      <c r="F907" s="1">
        <v>45694</v>
      </c>
      <c r="G907" s="1">
        <v>45698</v>
      </c>
      <c r="H907" t="s">
        <v>2</v>
      </c>
      <c r="I907" t="s">
        <v>25</v>
      </c>
      <c r="J907">
        <v>2</v>
      </c>
      <c r="K907" t="s">
        <v>4</v>
      </c>
      <c r="L907" t="s">
        <v>18</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989</v>
      </c>
      <c r="B908" t="s">
        <v>31</v>
      </c>
      <c r="C908">
        <v>3</v>
      </c>
      <c r="D908">
        <v>94.1</v>
      </c>
      <c r="E908">
        <v>282.29999999999995</v>
      </c>
      <c r="F908" s="1">
        <v>45694</v>
      </c>
      <c r="G908" s="1">
        <v>45707</v>
      </c>
      <c r="H908" t="s">
        <v>12</v>
      </c>
      <c r="I908" t="s">
        <v>25</v>
      </c>
      <c r="J908">
        <v>5</v>
      </c>
      <c r="K908" t="s">
        <v>4</v>
      </c>
      <c r="L908" t="s">
        <v>18</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990</v>
      </c>
      <c r="B909" t="s">
        <v>29</v>
      </c>
      <c r="C909">
        <v>3</v>
      </c>
      <c r="D909">
        <v>17.899999999999999</v>
      </c>
      <c r="E909">
        <v>53.699999999999996</v>
      </c>
      <c r="F909" s="1">
        <v>45694</v>
      </c>
      <c r="G909" s="1">
        <v>45696</v>
      </c>
      <c r="H909" t="s">
        <v>8</v>
      </c>
      <c r="I909" t="s">
        <v>20</v>
      </c>
      <c r="J909">
        <v>3</v>
      </c>
      <c r="K909" t="s">
        <v>4</v>
      </c>
      <c r="L909" t="s">
        <v>18</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991</v>
      </c>
      <c r="B910" t="s">
        <v>54</v>
      </c>
      <c r="C910">
        <v>7</v>
      </c>
      <c r="D910">
        <v>52.7</v>
      </c>
      <c r="E910">
        <v>368.90000000000003</v>
      </c>
      <c r="F910" s="1">
        <v>45694</v>
      </c>
      <c r="G910" s="1">
        <v>45695</v>
      </c>
      <c r="H910" t="s">
        <v>8</v>
      </c>
      <c r="I910" t="s">
        <v>20</v>
      </c>
      <c r="J910">
        <v>3</v>
      </c>
      <c r="K910" t="s">
        <v>4</v>
      </c>
      <c r="L910" t="s">
        <v>18</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992</v>
      </c>
      <c r="B911" t="s">
        <v>29</v>
      </c>
      <c r="C911">
        <v>1</v>
      </c>
      <c r="D911">
        <v>36.799999999999997</v>
      </c>
      <c r="E911">
        <v>36.799999999999997</v>
      </c>
      <c r="F911" s="1">
        <v>45694</v>
      </c>
      <c r="G911" s="1">
        <v>45694</v>
      </c>
      <c r="H911" t="s">
        <v>2</v>
      </c>
      <c r="I911" t="s">
        <v>3</v>
      </c>
      <c r="J911">
        <v>5</v>
      </c>
      <c r="K911" t="s">
        <v>4</v>
      </c>
      <c r="L911" t="s">
        <v>18</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993</v>
      </c>
      <c r="B912" t="s">
        <v>17</v>
      </c>
      <c r="C912">
        <v>1</v>
      </c>
      <c r="D912">
        <v>52.5</v>
      </c>
      <c r="E912">
        <v>52.5</v>
      </c>
      <c r="F912" s="1">
        <v>45694</v>
      </c>
      <c r="G912" s="1">
        <v>45695</v>
      </c>
      <c r="H912" t="s">
        <v>8</v>
      </c>
      <c r="I912" t="s">
        <v>3</v>
      </c>
      <c r="J912">
        <v>3</v>
      </c>
      <c r="K912" t="s">
        <v>4</v>
      </c>
      <c r="L912" t="s">
        <v>40</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994</v>
      </c>
      <c r="B913" t="s">
        <v>11</v>
      </c>
      <c r="C913">
        <v>2</v>
      </c>
      <c r="D913">
        <v>133.80000000000001</v>
      </c>
      <c r="E913">
        <v>267.60000000000002</v>
      </c>
      <c r="F913" s="1">
        <v>45694</v>
      </c>
      <c r="G913" s="1">
        <v>45696</v>
      </c>
      <c r="H913" t="s">
        <v>8</v>
      </c>
      <c r="I913" t="s">
        <v>3</v>
      </c>
      <c r="J913">
        <v>3</v>
      </c>
      <c r="K913" t="s">
        <v>4</v>
      </c>
      <c r="L913" t="s">
        <v>44</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995</v>
      </c>
      <c r="B914" t="s">
        <v>24</v>
      </c>
      <c r="C914">
        <v>2</v>
      </c>
      <c r="D914">
        <v>53.2</v>
      </c>
      <c r="E914">
        <v>106.4</v>
      </c>
      <c r="F914" s="1">
        <v>45694</v>
      </c>
      <c r="G914" s="1">
        <v>45696</v>
      </c>
      <c r="H914" t="s">
        <v>8</v>
      </c>
      <c r="I914" t="s">
        <v>3</v>
      </c>
      <c r="J914">
        <v>4</v>
      </c>
      <c r="K914" t="s">
        <v>4</v>
      </c>
      <c r="L914" t="s">
        <v>88</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996</v>
      </c>
      <c r="B915" t="s">
        <v>66</v>
      </c>
      <c r="C915">
        <v>6</v>
      </c>
      <c r="D915">
        <v>18.7</v>
      </c>
      <c r="E915">
        <v>112.19999999999999</v>
      </c>
      <c r="F915" s="1">
        <v>45694</v>
      </c>
      <c r="G915" s="1">
        <v>45696</v>
      </c>
      <c r="H915" t="s">
        <v>2</v>
      </c>
      <c r="I915" t="s">
        <v>3</v>
      </c>
      <c r="J915">
        <v>3</v>
      </c>
      <c r="K915" t="s">
        <v>4</v>
      </c>
      <c r="L915" t="s">
        <v>59</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997</v>
      </c>
      <c r="B916" t="s">
        <v>24</v>
      </c>
      <c r="C916">
        <v>4</v>
      </c>
      <c r="D916">
        <v>108.8</v>
      </c>
      <c r="E916">
        <v>435.2</v>
      </c>
      <c r="F916" s="1">
        <v>45694</v>
      </c>
      <c r="G916" s="1">
        <v>45695</v>
      </c>
      <c r="H916" t="s">
        <v>12</v>
      </c>
      <c r="I916" t="s">
        <v>36</v>
      </c>
      <c r="J916">
        <v>5</v>
      </c>
      <c r="K916" t="s">
        <v>4</v>
      </c>
      <c r="L916" t="s">
        <v>62</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998</v>
      </c>
      <c r="B917" t="s">
        <v>108</v>
      </c>
      <c r="C917">
        <v>5</v>
      </c>
      <c r="D917">
        <v>38.5</v>
      </c>
      <c r="E917">
        <v>192.5</v>
      </c>
      <c r="F917" s="1">
        <v>45694</v>
      </c>
      <c r="G917" s="1">
        <v>45698</v>
      </c>
      <c r="H917" t="s">
        <v>12</v>
      </c>
      <c r="I917" t="s">
        <v>3</v>
      </c>
      <c r="J917">
        <v>3</v>
      </c>
      <c r="K917" t="s">
        <v>4</v>
      </c>
      <c r="L917" t="s">
        <v>69</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999</v>
      </c>
      <c r="B918" t="s">
        <v>39</v>
      </c>
      <c r="C918">
        <v>10</v>
      </c>
      <c r="D918">
        <v>46.5</v>
      </c>
      <c r="E918">
        <v>465</v>
      </c>
      <c r="F918" s="1">
        <v>45694</v>
      </c>
      <c r="G918" s="1">
        <v>45696</v>
      </c>
      <c r="H918" t="s">
        <v>8</v>
      </c>
      <c r="I918" t="s">
        <v>25</v>
      </c>
      <c r="J918">
        <v>3</v>
      </c>
      <c r="K918" t="s">
        <v>4</v>
      </c>
      <c r="L918" t="s">
        <v>13</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1000</v>
      </c>
      <c r="B919" t="s">
        <v>11</v>
      </c>
      <c r="C919">
        <v>3</v>
      </c>
      <c r="D919">
        <v>75.8</v>
      </c>
      <c r="E919">
        <v>227.39999999999998</v>
      </c>
      <c r="F919" s="1">
        <v>45694</v>
      </c>
      <c r="G919" s="1">
        <v>45698</v>
      </c>
      <c r="H919" t="s">
        <v>12</v>
      </c>
      <c r="I919" t="s">
        <v>20</v>
      </c>
      <c r="J919">
        <v>2</v>
      </c>
      <c r="K919" t="s">
        <v>4</v>
      </c>
      <c r="L919" t="s">
        <v>572</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1001</v>
      </c>
      <c r="B920" t="s">
        <v>29</v>
      </c>
      <c r="C920">
        <v>1</v>
      </c>
      <c r="D920">
        <v>20.9</v>
      </c>
      <c r="E920">
        <v>20.9</v>
      </c>
      <c r="F920" s="1">
        <v>45694</v>
      </c>
      <c r="G920" s="1">
        <v>45698</v>
      </c>
      <c r="H920" t="s">
        <v>8</v>
      </c>
      <c r="I920" t="s">
        <v>3</v>
      </c>
      <c r="J920">
        <v>4</v>
      </c>
      <c r="K920" t="s">
        <v>4</v>
      </c>
      <c r="L920" t="s">
        <v>132</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1002</v>
      </c>
      <c r="B921" t="s">
        <v>131</v>
      </c>
      <c r="C921">
        <v>3</v>
      </c>
      <c r="D921">
        <v>47.4</v>
      </c>
      <c r="E921">
        <v>142.19999999999999</v>
      </c>
      <c r="F921" s="1">
        <v>45694</v>
      </c>
      <c r="G921" s="1">
        <v>45697</v>
      </c>
      <c r="H921" t="s">
        <v>12</v>
      </c>
      <c r="I921" t="s">
        <v>3</v>
      </c>
      <c r="J921">
        <v>4</v>
      </c>
      <c r="K921" t="s">
        <v>4</v>
      </c>
      <c r="L921" t="s">
        <v>18</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1003</v>
      </c>
      <c r="B922" t="s">
        <v>31</v>
      </c>
      <c r="C922">
        <v>2</v>
      </c>
      <c r="D922">
        <v>53.8</v>
      </c>
      <c r="E922">
        <v>107.6</v>
      </c>
      <c r="F922" s="1">
        <v>45694</v>
      </c>
      <c r="G922" s="1">
        <v>45695</v>
      </c>
      <c r="H922" t="s">
        <v>2</v>
      </c>
      <c r="I922" t="s">
        <v>3</v>
      </c>
      <c r="J922">
        <v>3</v>
      </c>
      <c r="K922" t="s">
        <v>4</v>
      </c>
      <c r="L922" t="s">
        <v>18</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1004</v>
      </c>
      <c r="B923" t="s">
        <v>29</v>
      </c>
      <c r="C923">
        <v>3</v>
      </c>
      <c r="D923">
        <v>24.6</v>
      </c>
      <c r="E923">
        <v>73.800000000000011</v>
      </c>
      <c r="F923" s="1">
        <v>45694</v>
      </c>
      <c r="G923" s="1">
        <v>45696</v>
      </c>
      <c r="H923" t="s">
        <v>74</v>
      </c>
      <c r="I923" t="s">
        <v>20</v>
      </c>
      <c r="J923">
        <v>5</v>
      </c>
      <c r="K923" t="s">
        <v>4</v>
      </c>
      <c r="L923" t="s">
        <v>18</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1005</v>
      </c>
      <c r="B924" t="s">
        <v>31</v>
      </c>
      <c r="C924">
        <v>3</v>
      </c>
      <c r="D924">
        <v>70.900000000000006</v>
      </c>
      <c r="E924">
        <v>212.70000000000002</v>
      </c>
      <c r="F924" s="1">
        <v>45694</v>
      </c>
      <c r="G924" s="1">
        <v>45699</v>
      </c>
      <c r="H924" t="s">
        <v>12</v>
      </c>
      <c r="I924" t="s">
        <v>25</v>
      </c>
      <c r="J924">
        <v>5</v>
      </c>
      <c r="K924" t="s">
        <v>4</v>
      </c>
      <c r="L924" t="s">
        <v>18</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1006</v>
      </c>
      <c r="B925" t="s">
        <v>120</v>
      </c>
      <c r="C925">
        <v>3</v>
      </c>
      <c r="D925">
        <v>31.9</v>
      </c>
      <c r="E925">
        <v>95.699999999999989</v>
      </c>
      <c r="F925" s="1">
        <v>45694</v>
      </c>
      <c r="G925" s="1">
        <v>45696</v>
      </c>
      <c r="H925" t="s">
        <v>12</v>
      </c>
      <c r="I925" t="s">
        <v>25</v>
      </c>
      <c r="J925">
        <v>5</v>
      </c>
      <c r="K925" t="s">
        <v>4</v>
      </c>
      <c r="L925" t="s">
        <v>18</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1007</v>
      </c>
      <c r="B926" t="s">
        <v>1</v>
      </c>
      <c r="C926">
        <v>2</v>
      </c>
      <c r="D926">
        <v>20.399999999999999</v>
      </c>
      <c r="E926">
        <v>40.799999999999997</v>
      </c>
      <c r="F926" s="1">
        <v>45694</v>
      </c>
      <c r="G926" s="1">
        <v>45698</v>
      </c>
      <c r="H926" t="s">
        <v>8</v>
      </c>
      <c r="I926" t="s">
        <v>36</v>
      </c>
      <c r="J926">
        <v>5</v>
      </c>
      <c r="K926" t="s">
        <v>4</v>
      </c>
      <c r="L926" t="s">
        <v>18</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1008</v>
      </c>
      <c r="B927" t="s">
        <v>29</v>
      </c>
      <c r="C927">
        <v>2</v>
      </c>
      <c r="D927">
        <v>18.600000000000001</v>
      </c>
      <c r="E927">
        <v>37.200000000000003</v>
      </c>
      <c r="F927" s="1">
        <v>45694</v>
      </c>
      <c r="G927" s="1">
        <v>45696</v>
      </c>
      <c r="H927" t="s">
        <v>2</v>
      </c>
      <c r="I927" t="s">
        <v>3</v>
      </c>
      <c r="J927">
        <v>3</v>
      </c>
      <c r="K927" t="s">
        <v>4</v>
      </c>
      <c r="L927" t="s">
        <v>18</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1009</v>
      </c>
      <c r="B928" t="s">
        <v>17</v>
      </c>
      <c r="C928">
        <v>5</v>
      </c>
      <c r="D928">
        <v>48.3</v>
      </c>
      <c r="E928">
        <v>241.5</v>
      </c>
      <c r="F928" s="1">
        <v>45694</v>
      </c>
      <c r="G928" s="1">
        <v>45696</v>
      </c>
      <c r="H928" t="s">
        <v>12</v>
      </c>
      <c r="I928" t="s">
        <v>20</v>
      </c>
      <c r="J928">
        <v>4</v>
      </c>
      <c r="K928" t="s">
        <v>4</v>
      </c>
      <c r="L928" t="s">
        <v>18</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1010</v>
      </c>
      <c r="B929" t="s">
        <v>1</v>
      </c>
      <c r="C929">
        <v>4</v>
      </c>
      <c r="D929">
        <v>27.7</v>
      </c>
      <c r="E929">
        <v>110.8</v>
      </c>
      <c r="F929" s="1">
        <v>45694</v>
      </c>
      <c r="G929" s="1">
        <v>45696</v>
      </c>
      <c r="H929" t="s">
        <v>12</v>
      </c>
      <c r="I929" t="s">
        <v>3</v>
      </c>
      <c r="J929">
        <v>4</v>
      </c>
      <c r="K929" t="s">
        <v>4</v>
      </c>
      <c r="L929" t="s">
        <v>18</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1011</v>
      </c>
      <c r="B930" t="s">
        <v>17</v>
      </c>
      <c r="C930">
        <v>5</v>
      </c>
      <c r="D930">
        <v>22.5</v>
      </c>
      <c r="E930">
        <v>112.5</v>
      </c>
      <c r="F930" s="1">
        <v>45694</v>
      </c>
      <c r="G930" s="1">
        <v>45696</v>
      </c>
      <c r="H930" t="s">
        <v>12</v>
      </c>
      <c r="I930" t="s">
        <v>55</v>
      </c>
      <c r="J930">
        <v>5</v>
      </c>
      <c r="K930" t="s">
        <v>4</v>
      </c>
      <c r="L930" t="s">
        <v>18</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1012</v>
      </c>
      <c r="B931" t="s">
        <v>120</v>
      </c>
      <c r="C931">
        <v>5</v>
      </c>
      <c r="D931">
        <v>21.6</v>
      </c>
      <c r="E931">
        <v>108</v>
      </c>
      <c r="F931" s="1">
        <v>45694</v>
      </c>
      <c r="G931" s="1">
        <v>45702</v>
      </c>
      <c r="H931" t="s">
        <v>12</v>
      </c>
      <c r="I931" t="s">
        <v>3</v>
      </c>
      <c r="J931">
        <v>3</v>
      </c>
      <c r="K931" t="s">
        <v>4</v>
      </c>
      <c r="L931" t="s">
        <v>18</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1013</v>
      </c>
      <c r="B932" t="s">
        <v>39</v>
      </c>
      <c r="C932">
        <v>7</v>
      </c>
      <c r="D932">
        <v>26.3</v>
      </c>
      <c r="E932">
        <v>184.1</v>
      </c>
      <c r="F932" s="1">
        <v>45694</v>
      </c>
      <c r="G932" s="1">
        <v>45694</v>
      </c>
      <c r="H932" t="s">
        <v>12</v>
      </c>
      <c r="I932" t="s">
        <v>25</v>
      </c>
      <c r="J932">
        <v>3</v>
      </c>
      <c r="K932" t="s">
        <v>4</v>
      </c>
      <c r="L932" t="s">
        <v>18</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1014</v>
      </c>
      <c r="B933" t="s">
        <v>24</v>
      </c>
      <c r="C933">
        <v>7</v>
      </c>
      <c r="D933">
        <v>103</v>
      </c>
      <c r="E933">
        <v>721</v>
      </c>
      <c r="F933" s="1">
        <v>45695</v>
      </c>
      <c r="G933" s="1">
        <v>45696</v>
      </c>
      <c r="H933" t="s">
        <v>8</v>
      </c>
      <c r="I933" t="s">
        <v>3</v>
      </c>
      <c r="J933">
        <v>5</v>
      </c>
      <c r="K933" t="s">
        <v>4</v>
      </c>
      <c r="L933" t="s">
        <v>40</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1015</v>
      </c>
      <c r="B934" t="s">
        <v>22</v>
      </c>
      <c r="C934">
        <v>15</v>
      </c>
      <c r="D934">
        <v>46.6</v>
      </c>
      <c r="E934">
        <v>699</v>
      </c>
      <c r="F934" s="1">
        <v>45695</v>
      </c>
      <c r="G934" s="1">
        <v>45696</v>
      </c>
      <c r="H934" t="s">
        <v>12</v>
      </c>
      <c r="I934" t="s">
        <v>3</v>
      </c>
      <c r="J934">
        <v>3</v>
      </c>
      <c r="K934" t="s">
        <v>4</v>
      </c>
      <c r="L934" t="s">
        <v>40</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1016</v>
      </c>
      <c r="B935" t="s">
        <v>1</v>
      </c>
      <c r="C935">
        <v>5</v>
      </c>
      <c r="D935">
        <v>32.200000000000003</v>
      </c>
      <c r="E935">
        <v>161</v>
      </c>
      <c r="F935" s="1">
        <v>45695</v>
      </c>
      <c r="G935" s="1">
        <v>45698</v>
      </c>
      <c r="H935" t="s">
        <v>12</v>
      </c>
      <c r="I935" t="s">
        <v>3</v>
      </c>
      <c r="J935">
        <v>5</v>
      </c>
      <c r="K935" t="s">
        <v>4</v>
      </c>
      <c r="L935" t="s">
        <v>327</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1017</v>
      </c>
      <c r="B936" t="s">
        <v>29</v>
      </c>
      <c r="C936">
        <v>3</v>
      </c>
      <c r="D936">
        <v>22</v>
      </c>
      <c r="E936">
        <v>66</v>
      </c>
      <c r="F936" s="1">
        <v>45695</v>
      </c>
      <c r="G936" s="1">
        <v>45702</v>
      </c>
      <c r="H936" t="s">
        <v>8</v>
      </c>
      <c r="I936" t="s">
        <v>20</v>
      </c>
      <c r="J936">
        <v>4</v>
      </c>
      <c r="K936" t="s">
        <v>4</v>
      </c>
      <c r="L936" t="s">
        <v>44</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1018</v>
      </c>
      <c r="B937" t="s">
        <v>1</v>
      </c>
      <c r="C937">
        <v>2</v>
      </c>
      <c r="D937">
        <v>25.2</v>
      </c>
      <c r="E937">
        <v>50.4</v>
      </c>
      <c r="F937" s="1">
        <v>45695</v>
      </c>
      <c r="G937" s="1">
        <v>45699</v>
      </c>
      <c r="H937" t="s">
        <v>12</v>
      </c>
      <c r="I937" t="s">
        <v>3</v>
      </c>
      <c r="J937">
        <v>4</v>
      </c>
      <c r="K937" t="s">
        <v>4</v>
      </c>
      <c r="L937" t="s">
        <v>44</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1019</v>
      </c>
      <c r="B938" t="s">
        <v>7</v>
      </c>
      <c r="C938">
        <v>6</v>
      </c>
      <c r="D938">
        <v>68.7</v>
      </c>
      <c r="E938">
        <v>412.20000000000005</v>
      </c>
      <c r="F938" s="1">
        <v>45695</v>
      </c>
      <c r="G938" s="1">
        <v>45697</v>
      </c>
      <c r="H938" t="s">
        <v>8</v>
      </c>
      <c r="I938" t="s">
        <v>55</v>
      </c>
      <c r="J938">
        <v>4</v>
      </c>
      <c r="K938" t="s">
        <v>4</v>
      </c>
      <c r="L938" t="s">
        <v>47</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1020</v>
      </c>
      <c r="B939" t="s">
        <v>1</v>
      </c>
      <c r="C939">
        <v>3</v>
      </c>
      <c r="D939">
        <v>22.2</v>
      </c>
      <c r="E939">
        <v>66.599999999999994</v>
      </c>
      <c r="F939" s="1">
        <v>45695</v>
      </c>
      <c r="G939" s="1">
        <v>45698</v>
      </c>
      <c r="H939" t="s">
        <v>8</v>
      </c>
      <c r="I939" t="s">
        <v>25</v>
      </c>
      <c r="J939">
        <v>5</v>
      </c>
      <c r="K939" t="s">
        <v>4</v>
      </c>
      <c r="L939" t="s">
        <v>47</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1021</v>
      </c>
      <c r="B940" t="s">
        <v>7</v>
      </c>
      <c r="C940">
        <v>7</v>
      </c>
      <c r="D940">
        <v>36</v>
      </c>
      <c r="E940">
        <v>252</v>
      </c>
      <c r="F940" s="1">
        <v>45695</v>
      </c>
      <c r="G940" s="1">
        <v>45696</v>
      </c>
      <c r="H940" t="s">
        <v>12</v>
      </c>
      <c r="I940" t="s">
        <v>20</v>
      </c>
      <c r="J940">
        <v>4</v>
      </c>
      <c r="K940" t="s">
        <v>4</v>
      </c>
      <c r="L940" t="s">
        <v>47</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1022</v>
      </c>
      <c r="B941" t="s">
        <v>131</v>
      </c>
      <c r="C941">
        <v>1</v>
      </c>
      <c r="D941">
        <v>50.6</v>
      </c>
      <c r="E941">
        <v>50.6</v>
      </c>
      <c r="F941" s="1">
        <v>45695</v>
      </c>
      <c r="G941" s="1">
        <v>45697</v>
      </c>
      <c r="H941" t="s">
        <v>12</v>
      </c>
      <c r="I941" t="s">
        <v>3</v>
      </c>
      <c r="J941">
        <v>3</v>
      </c>
      <c r="K941" t="s">
        <v>4</v>
      </c>
      <c r="L941" t="s">
        <v>47</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1023</v>
      </c>
      <c r="B942" t="s">
        <v>108</v>
      </c>
      <c r="C942">
        <v>2</v>
      </c>
      <c r="D942">
        <v>44.9</v>
      </c>
      <c r="E942">
        <v>89.8</v>
      </c>
      <c r="F942" s="1">
        <v>45695</v>
      </c>
      <c r="G942" s="1">
        <v>45697</v>
      </c>
      <c r="H942" t="s">
        <v>8</v>
      </c>
      <c r="I942" t="s">
        <v>3</v>
      </c>
      <c r="J942">
        <v>3</v>
      </c>
      <c r="K942" t="s">
        <v>4</v>
      </c>
      <c r="L942" t="s">
        <v>47</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1024</v>
      </c>
      <c r="B943" t="s">
        <v>24</v>
      </c>
      <c r="C943">
        <v>3</v>
      </c>
      <c r="D943">
        <v>71.599999999999994</v>
      </c>
      <c r="E943">
        <v>214.79999999999998</v>
      </c>
      <c r="F943" s="1">
        <v>45695</v>
      </c>
      <c r="G943" s="1">
        <v>45699</v>
      </c>
      <c r="H943" t="s">
        <v>8</v>
      </c>
      <c r="I943" t="s">
        <v>20</v>
      </c>
      <c r="J943">
        <v>5</v>
      </c>
      <c r="K943" t="s">
        <v>4</v>
      </c>
      <c r="L943" t="s">
        <v>59</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1025</v>
      </c>
      <c r="B944" t="s">
        <v>24</v>
      </c>
      <c r="C944">
        <v>6</v>
      </c>
      <c r="D944">
        <v>51.5</v>
      </c>
      <c r="E944">
        <v>309</v>
      </c>
      <c r="F944" s="1">
        <v>45695</v>
      </c>
      <c r="G944" s="1">
        <v>45697</v>
      </c>
      <c r="H944" t="s">
        <v>2</v>
      </c>
      <c r="I944" t="s">
        <v>55</v>
      </c>
      <c r="J944">
        <v>4</v>
      </c>
      <c r="K944" t="s">
        <v>4</v>
      </c>
      <c r="L944" t="s">
        <v>62</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1026</v>
      </c>
      <c r="B945" t="s">
        <v>27</v>
      </c>
      <c r="C945">
        <v>5</v>
      </c>
      <c r="D945">
        <v>55.5</v>
      </c>
      <c r="E945">
        <v>277.5</v>
      </c>
      <c r="F945" s="1">
        <v>45695</v>
      </c>
      <c r="G945" s="1">
        <v>45696</v>
      </c>
      <c r="H945" t="s">
        <v>8</v>
      </c>
      <c r="I945" t="s">
        <v>20</v>
      </c>
      <c r="J945">
        <v>3</v>
      </c>
      <c r="K945" t="s">
        <v>4</v>
      </c>
      <c r="L945" t="s">
        <v>62</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1027</v>
      </c>
      <c r="B946" t="s">
        <v>24</v>
      </c>
      <c r="C946">
        <v>1</v>
      </c>
      <c r="D946">
        <v>51.7</v>
      </c>
      <c r="E946">
        <v>51.7</v>
      </c>
      <c r="F946" s="1">
        <v>45695</v>
      </c>
      <c r="G946" s="1">
        <v>45709</v>
      </c>
      <c r="H946" t="s">
        <v>8</v>
      </c>
      <c r="I946" t="s">
        <v>25</v>
      </c>
      <c r="J946">
        <v>4</v>
      </c>
      <c r="K946" t="s">
        <v>4</v>
      </c>
      <c r="L946" t="s">
        <v>95</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1028</v>
      </c>
      <c r="B947" t="s">
        <v>29</v>
      </c>
      <c r="C947">
        <v>21</v>
      </c>
      <c r="D947">
        <v>45.5</v>
      </c>
      <c r="E947">
        <v>955.5</v>
      </c>
      <c r="F947" s="1">
        <v>45695</v>
      </c>
      <c r="G947" s="1">
        <v>45696</v>
      </c>
      <c r="H947" t="s">
        <v>12</v>
      </c>
      <c r="I947" t="s">
        <v>36</v>
      </c>
      <c r="J947">
        <v>5</v>
      </c>
      <c r="K947" t="s">
        <v>4</v>
      </c>
      <c r="L947" t="s">
        <v>95</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1029</v>
      </c>
      <c r="B948" t="s">
        <v>29</v>
      </c>
      <c r="C948">
        <v>2</v>
      </c>
      <c r="D948">
        <v>33.799999999999997</v>
      </c>
      <c r="E948">
        <v>67.599999999999994</v>
      </c>
      <c r="F948" s="1">
        <v>45695</v>
      </c>
      <c r="G948" s="1">
        <v>45701</v>
      </c>
      <c r="H948" t="s">
        <v>12</v>
      </c>
      <c r="I948" t="s">
        <v>36</v>
      </c>
      <c r="J948">
        <v>4</v>
      </c>
      <c r="K948" t="s">
        <v>4</v>
      </c>
      <c r="L948" t="s">
        <v>98</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1030</v>
      </c>
      <c r="B949" t="s">
        <v>15</v>
      </c>
      <c r="C949">
        <v>3</v>
      </c>
      <c r="D949">
        <v>76.5</v>
      </c>
      <c r="E949">
        <v>229.5</v>
      </c>
      <c r="F949" s="1">
        <v>45695</v>
      </c>
      <c r="G949" s="1">
        <v>45696</v>
      </c>
      <c r="H949" t="s">
        <v>12</v>
      </c>
      <c r="I949" t="s">
        <v>3</v>
      </c>
      <c r="J949">
        <v>3</v>
      </c>
      <c r="K949" t="s">
        <v>4</v>
      </c>
      <c r="L949" t="s">
        <v>100</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1031</v>
      </c>
      <c r="B950" t="s">
        <v>31</v>
      </c>
      <c r="C950">
        <v>3</v>
      </c>
      <c r="D950">
        <v>42.6</v>
      </c>
      <c r="E950">
        <v>127.80000000000001</v>
      </c>
      <c r="F950" s="1">
        <v>45695</v>
      </c>
      <c r="G950" s="1">
        <v>45701</v>
      </c>
      <c r="H950" t="s">
        <v>12</v>
      </c>
      <c r="I950" t="s">
        <v>25</v>
      </c>
      <c r="J950">
        <v>5</v>
      </c>
      <c r="K950" t="s">
        <v>4</v>
      </c>
      <c r="L950" t="s">
        <v>13</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1032</v>
      </c>
      <c r="B951" t="s">
        <v>24</v>
      </c>
      <c r="C951">
        <v>3</v>
      </c>
      <c r="D951">
        <v>44.1</v>
      </c>
      <c r="E951">
        <v>132.30000000000001</v>
      </c>
      <c r="F951" s="1">
        <v>45695</v>
      </c>
      <c r="G951" s="1">
        <v>45697</v>
      </c>
      <c r="H951" t="s">
        <v>12</v>
      </c>
      <c r="I951" t="s">
        <v>20</v>
      </c>
      <c r="J951">
        <v>3</v>
      </c>
      <c r="K951" t="s">
        <v>4</v>
      </c>
      <c r="L951" t="s">
        <v>132</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1033</v>
      </c>
      <c r="B952" t="s">
        <v>29</v>
      </c>
      <c r="C952">
        <v>2</v>
      </c>
      <c r="D952">
        <v>40.9</v>
      </c>
      <c r="E952">
        <v>81.8</v>
      </c>
      <c r="F952" s="1">
        <v>45695</v>
      </c>
      <c r="G952" s="1">
        <v>45699</v>
      </c>
      <c r="H952" t="s">
        <v>8</v>
      </c>
      <c r="I952" t="s">
        <v>3</v>
      </c>
      <c r="J952">
        <v>4</v>
      </c>
      <c r="K952" t="s">
        <v>4</v>
      </c>
      <c r="L952" t="s">
        <v>18</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1034</v>
      </c>
      <c r="B953" t="s">
        <v>31</v>
      </c>
      <c r="C953">
        <v>3</v>
      </c>
      <c r="D953">
        <v>49.1</v>
      </c>
      <c r="E953">
        <v>147.30000000000001</v>
      </c>
      <c r="F953" s="1">
        <v>45695</v>
      </c>
      <c r="G953" s="1">
        <v>45699</v>
      </c>
      <c r="H953" t="s">
        <v>12</v>
      </c>
      <c r="I953" t="s">
        <v>36</v>
      </c>
      <c r="J953">
        <v>3</v>
      </c>
      <c r="K953" t="s">
        <v>4</v>
      </c>
      <c r="L953" t="s">
        <v>18</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1035</v>
      </c>
      <c r="B954" t="s">
        <v>131</v>
      </c>
      <c r="C954">
        <v>1</v>
      </c>
      <c r="D954">
        <v>85.3</v>
      </c>
      <c r="E954">
        <v>85.3</v>
      </c>
      <c r="F954" s="1">
        <v>45695</v>
      </c>
      <c r="G954" s="1">
        <v>45699</v>
      </c>
      <c r="H954" t="s">
        <v>8</v>
      </c>
      <c r="I954" t="s">
        <v>20</v>
      </c>
      <c r="J954">
        <v>3</v>
      </c>
      <c r="K954" t="s">
        <v>4</v>
      </c>
      <c r="L954" t="s">
        <v>18</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1036</v>
      </c>
      <c r="B955" t="s">
        <v>24</v>
      </c>
      <c r="C955">
        <v>4</v>
      </c>
      <c r="D955">
        <v>43.1</v>
      </c>
      <c r="E955">
        <v>172.4</v>
      </c>
      <c r="F955" s="1">
        <v>45696</v>
      </c>
      <c r="G955" s="1">
        <v>45699</v>
      </c>
      <c r="H955" t="s">
        <v>8</v>
      </c>
      <c r="I955" t="s">
        <v>3</v>
      </c>
      <c r="J955">
        <v>4</v>
      </c>
      <c r="K955" t="s">
        <v>4</v>
      </c>
      <c r="L955" t="s">
        <v>18</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1037</v>
      </c>
      <c r="B956" t="s">
        <v>17</v>
      </c>
      <c r="C956">
        <v>4</v>
      </c>
      <c r="D956">
        <v>46.2</v>
      </c>
      <c r="E956">
        <v>184.8</v>
      </c>
      <c r="F956" s="1">
        <v>45696</v>
      </c>
      <c r="G956" s="1">
        <v>45697</v>
      </c>
      <c r="H956" t="s">
        <v>8</v>
      </c>
      <c r="I956" t="s">
        <v>25</v>
      </c>
      <c r="J956">
        <v>4</v>
      </c>
      <c r="K956" t="s">
        <v>4</v>
      </c>
      <c r="L956" t="s">
        <v>18</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1038</v>
      </c>
      <c r="B957" t="s">
        <v>7</v>
      </c>
      <c r="C957">
        <v>1</v>
      </c>
      <c r="D957">
        <v>74.400000000000006</v>
      </c>
      <c r="E957">
        <v>74.400000000000006</v>
      </c>
      <c r="F957" s="1">
        <v>45696</v>
      </c>
      <c r="G957" s="1">
        <v>45698</v>
      </c>
      <c r="H957" t="s">
        <v>8</v>
      </c>
      <c r="I957" t="s">
        <v>55</v>
      </c>
      <c r="J957">
        <v>5</v>
      </c>
      <c r="K957" t="s">
        <v>4</v>
      </c>
      <c r="L957" t="s">
        <v>18</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1039</v>
      </c>
      <c r="B958" t="s">
        <v>120</v>
      </c>
      <c r="C958">
        <v>2</v>
      </c>
      <c r="D958">
        <v>51.2</v>
      </c>
      <c r="E958">
        <v>102.4</v>
      </c>
      <c r="F958" s="1">
        <v>45696</v>
      </c>
      <c r="G958" s="1">
        <v>45697</v>
      </c>
      <c r="H958" t="s">
        <v>8</v>
      </c>
      <c r="I958" t="s">
        <v>20</v>
      </c>
      <c r="J958">
        <v>4</v>
      </c>
      <c r="K958" t="s">
        <v>4</v>
      </c>
      <c r="L958" t="s">
        <v>18</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1040</v>
      </c>
      <c r="B959" t="s">
        <v>66</v>
      </c>
      <c r="C959">
        <v>4</v>
      </c>
      <c r="D959">
        <v>11.8</v>
      </c>
      <c r="E959">
        <v>47.2</v>
      </c>
      <c r="F959" s="1">
        <v>45696</v>
      </c>
      <c r="G959" s="1">
        <v>45696</v>
      </c>
      <c r="H959" t="s">
        <v>8</v>
      </c>
      <c r="I959" t="s">
        <v>25</v>
      </c>
      <c r="J959">
        <v>4</v>
      </c>
      <c r="K959" t="s">
        <v>4</v>
      </c>
      <c r="L959" t="s">
        <v>18</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1041</v>
      </c>
      <c r="B960" t="s">
        <v>39</v>
      </c>
      <c r="C960">
        <v>27</v>
      </c>
      <c r="D960">
        <v>40.799999999999997</v>
      </c>
      <c r="E960">
        <v>1101.5999999999999</v>
      </c>
      <c r="F960" s="1">
        <v>45696</v>
      </c>
      <c r="G960" s="1">
        <v>45697</v>
      </c>
      <c r="H960" t="s">
        <v>12</v>
      </c>
      <c r="I960" t="s">
        <v>36</v>
      </c>
      <c r="J960">
        <v>5</v>
      </c>
      <c r="K960" t="s">
        <v>4</v>
      </c>
      <c r="L960" t="s">
        <v>18</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1042</v>
      </c>
      <c r="B961" t="s">
        <v>29</v>
      </c>
      <c r="C961">
        <v>1</v>
      </c>
      <c r="D961">
        <v>24.7</v>
      </c>
      <c r="E961">
        <v>24.7</v>
      </c>
      <c r="F961" s="1">
        <v>45696</v>
      </c>
      <c r="G961" s="1">
        <v>45698</v>
      </c>
      <c r="H961" t="s">
        <v>12</v>
      </c>
      <c r="I961" t="s">
        <v>25</v>
      </c>
      <c r="J961">
        <v>3</v>
      </c>
      <c r="K961" t="s">
        <v>4</v>
      </c>
      <c r="L961" t="s">
        <v>18</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1043</v>
      </c>
      <c r="B962" t="s">
        <v>29</v>
      </c>
      <c r="C962">
        <v>7</v>
      </c>
      <c r="D962">
        <v>22.1</v>
      </c>
      <c r="E962">
        <v>154.70000000000002</v>
      </c>
      <c r="F962" s="1">
        <v>45696</v>
      </c>
      <c r="G962" s="1">
        <v>45696</v>
      </c>
      <c r="H962" t="s">
        <v>12</v>
      </c>
      <c r="I962" t="s">
        <v>25</v>
      </c>
      <c r="J962">
        <v>2</v>
      </c>
      <c r="K962" t="s">
        <v>4</v>
      </c>
      <c r="L962" t="s">
        <v>18</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1044</v>
      </c>
      <c r="B963" t="s">
        <v>29</v>
      </c>
      <c r="C963">
        <v>1</v>
      </c>
      <c r="D963">
        <v>18.100000000000001</v>
      </c>
      <c r="E963">
        <v>18.100000000000001</v>
      </c>
      <c r="F963" s="1">
        <v>45696</v>
      </c>
      <c r="G963" s="1">
        <v>45700</v>
      </c>
      <c r="H963" t="s">
        <v>8</v>
      </c>
      <c r="I963" t="s">
        <v>36</v>
      </c>
      <c r="J963">
        <v>5</v>
      </c>
      <c r="K963" t="s">
        <v>4</v>
      </c>
      <c r="L963" t="s">
        <v>18</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1045</v>
      </c>
      <c r="B964" t="s">
        <v>120</v>
      </c>
      <c r="C964">
        <v>2</v>
      </c>
      <c r="D964">
        <v>58.8</v>
      </c>
      <c r="E964">
        <v>117.6</v>
      </c>
      <c r="F964" s="1">
        <v>45696</v>
      </c>
      <c r="G964" s="1">
        <v>45699</v>
      </c>
      <c r="H964" t="s">
        <v>12</v>
      </c>
      <c r="I964" t="s">
        <v>3</v>
      </c>
      <c r="J964">
        <v>4</v>
      </c>
      <c r="K964" t="s">
        <v>4</v>
      </c>
      <c r="L964" t="s">
        <v>173</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1046</v>
      </c>
      <c r="B965" t="s">
        <v>131</v>
      </c>
      <c r="C965">
        <v>2</v>
      </c>
      <c r="D965">
        <v>30.8</v>
      </c>
      <c r="E965">
        <v>61.6</v>
      </c>
      <c r="F965" s="1">
        <v>45696</v>
      </c>
      <c r="G965" s="1">
        <v>45697</v>
      </c>
      <c r="H965" t="s">
        <v>12</v>
      </c>
      <c r="I965" t="s">
        <v>3</v>
      </c>
      <c r="J965">
        <v>4</v>
      </c>
      <c r="K965" t="s">
        <v>4</v>
      </c>
      <c r="L965" t="s">
        <v>40</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1047</v>
      </c>
      <c r="B966" t="s">
        <v>1</v>
      </c>
      <c r="C966">
        <v>2</v>
      </c>
      <c r="D966">
        <v>12</v>
      </c>
      <c r="E966">
        <v>24</v>
      </c>
      <c r="F966" s="1">
        <v>45696</v>
      </c>
      <c r="G966" s="1">
        <v>45700</v>
      </c>
      <c r="H966" t="s">
        <v>12</v>
      </c>
      <c r="I966" t="s">
        <v>3</v>
      </c>
      <c r="J966">
        <v>4</v>
      </c>
      <c r="K966" t="s">
        <v>4</v>
      </c>
      <c r="L966" t="s">
        <v>40</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1048</v>
      </c>
      <c r="B967" t="s">
        <v>1</v>
      </c>
      <c r="C967">
        <v>4</v>
      </c>
      <c r="D967">
        <v>13.6</v>
      </c>
      <c r="E967">
        <v>54.4</v>
      </c>
      <c r="F967" s="1">
        <v>45696</v>
      </c>
      <c r="G967" s="1">
        <v>45699</v>
      </c>
      <c r="H967" t="s">
        <v>8</v>
      </c>
      <c r="I967" t="s">
        <v>25</v>
      </c>
      <c r="J967">
        <v>4</v>
      </c>
      <c r="K967" t="s">
        <v>4</v>
      </c>
      <c r="L967" t="s">
        <v>40</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1049</v>
      </c>
      <c r="B968" t="s">
        <v>1</v>
      </c>
      <c r="C968">
        <v>1</v>
      </c>
      <c r="D968">
        <v>17.899999999999999</v>
      </c>
      <c r="E968">
        <v>17.899999999999999</v>
      </c>
      <c r="F968" s="1">
        <v>45696</v>
      </c>
      <c r="G968" s="1">
        <v>45697</v>
      </c>
      <c r="H968" t="s">
        <v>8</v>
      </c>
      <c r="I968" t="s">
        <v>36</v>
      </c>
      <c r="J968">
        <v>4</v>
      </c>
      <c r="K968" t="s">
        <v>4</v>
      </c>
      <c r="L968" t="s">
        <v>40</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1050</v>
      </c>
      <c r="B969" t="s">
        <v>31</v>
      </c>
      <c r="C969">
        <v>2</v>
      </c>
      <c r="D969">
        <v>38.6</v>
      </c>
      <c r="E969">
        <v>77.2</v>
      </c>
      <c r="F969" s="1">
        <v>45696</v>
      </c>
      <c r="G969" s="1">
        <v>45700</v>
      </c>
      <c r="H969" t="s">
        <v>12</v>
      </c>
      <c r="I969" t="s">
        <v>55</v>
      </c>
      <c r="J969">
        <v>4</v>
      </c>
      <c r="K969" t="s">
        <v>4</v>
      </c>
      <c r="L969" t="s">
        <v>44</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1051</v>
      </c>
      <c r="B970" t="s">
        <v>22</v>
      </c>
      <c r="C970">
        <v>5</v>
      </c>
      <c r="D970">
        <v>32.700000000000003</v>
      </c>
      <c r="E970">
        <v>163.5</v>
      </c>
      <c r="F970" s="1">
        <v>45696</v>
      </c>
      <c r="G970" s="1">
        <v>45697</v>
      </c>
      <c r="H970" t="s">
        <v>8</v>
      </c>
      <c r="I970" t="s">
        <v>25</v>
      </c>
      <c r="J970">
        <v>5</v>
      </c>
      <c r="K970" t="s">
        <v>4</v>
      </c>
      <c r="L970" t="s">
        <v>47</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1052</v>
      </c>
      <c r="B971" t="s">
        <v>15</v>
      </c>
      <c r="C971">
        <v>2</v>
      </c>
      <c r="D971">
        <v>111.4</v>
      </c>
      <c r="E971">
        <v>222.8</v>
      </c>
      <c r="F971" s="1">
        <v>45696</v>
      </c>
      <c r="G971" s="1">
        <v>45697</v>
      </c>
      <c r="H971" t="s">
        <v>12</v>
      </c>
      <c r="I971" t="s">
        <v>20</v>
      </c>
      <c r="J971">
        <v>4</v>
      </c>
      <c r="K971" t="s">
        <v>4</v>
      </c>
      <c r="L971" t="s">
        <v>47</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1053</v>
      </c>
      <c r="B972" t="s">
        <v>11</v>
      </c>
      <c r="C972">
        <v>6</v>
      </c>
      <c r="D972">
        <v>80.3</v>
      </c>
      <c r="E972">
        <v>481.79999999999995</v>
      </c>
      <c r="F972" s="1">
        <v>45696</v>
      </c>
      <c r="G972" s="1">
        <v>45698</v>
      </c>
      <c r="H972" t="s">
        <v>12</v>
      </c>
      <c r="I972" t="s">
        <v>20</v>
      </c>
      <c r="J972">
        <v>4</v>
      </c>
      <c r="K972" t="s">
        <v>4</v>
      </c>
      <c r="L972" t="s">
        <v>47</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1054</v>
      </c>
      <c r="B973" t="s">
        <v>24</v>
      </c>
      <c r="C973">
        <v>2</v>
      </c>
      <c r="D973">
        <v>58.9</v>
      </c>
      <c r="E973">
        <v>117.8</v>
      </c>
      <c r="F973" s="1">
        <v>45696</v>
      </c>
      <c r="G973" s="1">
        <v>45697</v>
      </c>
      <c r="H973" t="s">
        <v>8</v>
      </c>
      <c r="I973" t="s">
        <v>20</v>
      </c>
      <c r="J973">
        <v>4</v>
      </c>
      <c r="K973" t="s">
        <v>4</v>
      </c>
      <c r="L973" t="s">
        <v>47</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1055</v>
      </c>
      <c r="B974" t="s">
        <v>24</v>
      </c>
      <c r="C974">
        <v>3</v>
      </c>
      <c r="D974">
        <v>51.9</v>
      </c>
      <c r="E974">
        <v>155.69999999999999</v>
      </c>
      <c r="F974" s="1">
        <v>45696</v>
      </c>
      <c r="G974" s="1">
        <v>45698</v>
      </c>
      <c r="H974" t="s">
        <v>12</v>
      </c>
      <c r="I974" t="s">
        <v>20</v>
      </c>
      <c r="J974">
        <v>2</v>
      </c>
      <c r="K974" t="s">
        <v>4</v>
      </c>
      <c r="L974" t="s">
        <v>47</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1056</v>
      </c>
      <c r="B975" t="s">
        <v>11</v>
      </c>
      <c r="C975">
        <v>3</v>
      </c>
      <c r="D975">
        <v>50.3</v>
      </c>
      <c r="E975">
        <v>150.89999999999998</v>
      </c>
      <c r="F975" s="1">
        <v>45696</v>
      </c>
      <c r="G975" s="1">
        <v>45697</v>
      </c>
      <c r="H975" t="s">
        <v>8</v>
      </c>
      <c r="I975" t="s">
        <v>25</v>
      </c>
      <c r="J975">
        <v>4</v>
      </c>
      <c r="K975" t="s">
        <v>4</v>
      </c>
      <c r="L975" t="s">
        <v>88</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1057</v>
      </c>
      <c r="B976" t="s">
        <v>52</v>
      </c>
      <c r="C976">
        <v>6</v>
      </c>
      <c r="D976">
        <v>45</v>
      </c>
      <c r="E976">
        <v>270</v>
      </c>
      <c r="F976" s="1">
        <v>45696</v>
      </c>
      <c r="G976" s="1">
        <v>45702</v>
      </c>
      <c r="H976" t="s">
        <v>12</v>
      </c>
      <c r="I976" t="s">
        <v>36</v>
      </c>
      <c r="J976">
        <v>4</v>
      </c>
      <c r="K976" t="s">
        <v>4</v>
      </c>
      <c r="L976" t="s">
        <v>57</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1058</v>
      </c>
      <c r="B977" t="s">
        <v>39</v>
      </c>
      <c r="C977">
        <v>6</v>
      </c>
      <c r="D977">
        <v>44.7</v>
      </c>
      <c r="E977">
        <v>268.20000000000005</v>
      </c>
      <c r="F977" s="1">
        <v>45696</v>
      </c>
      <c r="G977" s="1">
        <v>45698</v>
      </c>
      <c r="H977" t="s">
        <v>12</v>
      </c>
      <c r="I977" t="s">
        <v>25</v>
      </c>
      <c r="J977">
        <v>4</v>
      </c>
      <c r="K977" t="s">
        <v>4</v>
      </c>
      <c r="L977" t="s">
        <v>62</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1059</v>
      </c>
      <c r="B978" t="s">
        <v>131</v>
      </c>
      <c r="C978">
        <v>15</v>
      </c>
      <c r="D978">
        <v>33</v>
      </c>
      <c r="E978">
        <v>495</v>
      </c>
      <c r="F978" s="1">
        <v>45696</v>
      </c>
      <c r="G978" s="1">
        <v>45697</v>
      </c>
      <c r="H978" t="s">
        <v>12</v>
      </c>
      <c r="I978" t="s">
        <v>25</v>
      </c>
      <c r="J978">
        <v>4</v>
      </c>
      <c r="K978" t="s">
        <v>4</v>
      </c>
      <c r="L978" t="s">
        <v>62</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1060</v>
      </c>
      <c r="B979" t="s">
        <v>7</v>
      </c>
      <c r="C979">
        <v>5</v>
      </c>
      <c r="D979">
        <v>44.9</v>
      </c>
      <c r="E979">
        <v>224.5</v>
      </c>
      <c r="F979" s="1">
        <v>45696</v>
      </c>
      <c r="G979" s="1">
        <v>45699</v>
      </c>
      <c r="H979" t="s">
        <v>12</v>
      </c>
      <c r="I979" t="s">
        <v>25</v>
      </c>
      <c r="J979">
        <v>5</v>
      </c>
      <c r="K979" t="s">
        <v>4</v>
      </c>
      <c r="L979" t="s">
        <v>93</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1061</v>
      </c>
      <c r="B980" t="s">
        <v>39</v>
      </c>
      <c r="C980">
        <v>2</v>
      </c>
      <c r="D980">
        <v>34.6</v>
      </c>
      <c r="E980">
        <v>69.2</v>
      </c>
      <c r="F980" s="1">
        <v>45696</v>
      </c>
      <c r="G980" s="1">
        <v>45700</v>
      </c>
      <c r="H980" t="s">
        <v>12</v>
      </c>
      <c r="I980" t="s">
        <v>3</v>
      </c>
      <c r="J980">
        <v>3</v>
      </c>
      <c r="K980" t="s">
        <v>4</v>
      </c>
      <c r="L980" t="s">
        <v>95</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1062</v>
      </c>
      <c r="B981" t="s">
        <v>27</v>
      </c>
      <c r="C981">
        <v>7</v>
      </c>
      <c r="D981">
        <v>47.1</v>
      </c>
      <c r="E981">
        <v>329.7</v>
      </c>
      <c r="F981" s="1">
        <v>45696</v>
      </c>
      <c r="G981" s="1">
        <v>45701</v>
      </c>
      <c r="H981" t="s">
        <v>12</v>
      </c>
      <c r="I981" t="s">
        <v>3</v>
      </c>
      <c r="J981">
        <v>4</v>
      </c>
      <c r="K981" t="s">
        <v>4</v>
      </c>
      <c r="L981" t="s">
        <v>67</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1063</v>
      </c>
      <c r="B982" t="s">
        <v>17</v>
      </c>
      <c r="C982">
        <v>5</v>
      </c>
      <c r="D982">
        <v>26.1</v>
      </c>
      <c r="E982">
        <v>130.5</v>
      </c>
      <c r="F982" s="1">
        <v>45696</v>
      </c>
      <c r="G982" s="1">
        <v>45701</v>
      </c>
      <c r="H982" t="s">
        <v>8</v>
      </c>
      <c r="I982" t="s">
        <v>3</v>
      </c>
      <c r="J982">
        <v>5</v>
      </c>
      <c r="K982" t="s">
        <v>4</v>
      </c>
      <c r="L982" t="s">
        <v>100</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1064</v>
      </c>
      <c r="B983" t="s">
        <v>54</v>
      </c>
      <c r="C983">
        <v>5</v>
      </c>
      <c r="D983">
        <v>66.8</v>
      </c>
      <c r="E983">
        <v>334</v>
      </c>
      <c r="F983" s="1">
        <v>45696</v>
      </c>
      <c r="G983" s="1">
        <v>45699</v>
      </c>
      <c r="H983" t="s">
        <v>12</v>
      </c>
      <c r="I983" t="s">
        <v>3</v>
      </c>
      <c r="J983">
        <v>4</v>
      </c>
      <c r="K983" t="s">
        <v>4</v>
      </c>
      <c r="L983" t="s">
        <v>100</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1065</v>
      </c>
      <c r="B984" t="s">
        <v>11</v>
      </c>
      <c r="C984">
        <v>2</v>
      </c>
      <c r="D984">
        <v>167.9</v>
      </c>
      <c r="E984">
        <v>335.8</v>
      </c>
      <c r="F984" s="1">
        <v>45696</v>
      </c>
      <c r="G984" s="1">
        <v>45697</v>
      </c>
      <c r="H984" t="s">
        <v>12</v>
      </c>
      <c r="I984" t="s">
        <v>36</v>
      </c>
      <c r="J984">
        <v>5</v>
      </c>
      <c r="K984" t="s">
        <v>4</v>
      </c>
      <c r="L984" t="s">
        <v>100</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1066</v>
      </c>
      <c r="B985" t="s">
        <v>39</v>
      </c>
      <c r="C985">
        <v>9</v>
      </c>
      <c r="D985">
        <v>34.6</v>
      </c>
      <c r="E985">
        <v>311.40000000000003</v>
      </c>
      <c r="F985" s="1">
        <v>45696</v>
      </c>
      <c r="G985" s="1">
        <v>45697</v>
      </c>
      <c r="H985" t="s">
        <v>12</v>
      </c>
      <c r="I985" t="s">
        <v>25</v>
      </c>
      <c r="J985">
        <v>3</v>
      </c>
      <c r="K985" t="s">
        <v>4</v>
      </c>
      <c r="L985" t="s">
        <v>100</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1067</v>
      </c>
      <c r="B986" t="s">
        <v>29</v>
      </c>
      <c r="C986">
        <v>3</v>
      </c>
      <c r="D986">
        <v>35.1</v>
      </c>
      <c r="E986">
        <v>105.30000000000001</v>
      </c>
      <c r="F986" s="1">
        <v>45697</v>
      </c>
      <c r="G986" s="1">
        <v>45701</v>
      </c>
      <c r="H986" t="s">
        <v>8</v>
      </c>
      <c r="I986" t="s">
        <v>55</v>
      </c>
      <c r="J986">
        <v>5</v>
      </c>
      <c r="K986" t="s">
        <v>4</v>
      </c>
      <c r="L986" t="s">
        <v>9</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1068</v>
      </c>
      <c r="B987" t="s">
        <v>24</v>
      </c>
      <c r="C987">
        <v>4</v>
      </c>
      <c r="D987">
        <v>104.5</v>
      </c>
      <c r="E987">
        <v>418</v>
      </c>
      <c r="F987" s="1">
        <v>45697</v>
      </c>
      <c r="G987" s="1">
        <v>45698</v>
      </c>
      <c r="H987" t="s">
        <v>8</v>
      </c>
      <c r="I987" t="s">
        <v>20</v>
      </c>
      <c r="J987">
        <v>3</v>
      </c>
      <c r="K987" t="s">
        <v>4</v>
      </c>
      <c r="L987" t="s">
        <v>9</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1069</v>
      </c>
      <c r="B988" t="s">
        <v>29</v>
      </c>
      <c r="C988">
        <v>1</v>
      </c>
      <c r="D988">
        <v>37.9</v>
      </c>
      <c r="E988">
        <v>37.9</v>
      </c>
      <c r="F988" s="1">
        <v>45697</v>
      </c>
      <c r="G988" s="1">
        <v>45699</v>
      </c>
      <c r="H988" t="s">
        <v>2</v>
      </c>
      <c r="I988" t="s">
        <v>20</v>
      </c>
      <c r="J988">
        <v>5</v>
      </c>
      <c r="K988" t="s">
        <v>4</v>
      </c>
      <c r="L988" t="s">
        <v>13</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1070</v>
      </c>
      <c r="B989" t="s">
        <v>17</v>
      </c>
      <c r="C989">
        <v>3</v>
      </c>
      <c r="D989">
        <v>25.5</v>
      </c>
      <c r="E989">
        <v>76.5</v>
      </c>
      <c r="F989" s="1">
        <v>45697</v>
      </c>
      <c r="G989" s="1">
        <v>45700</v>
      </c>
      <c r="H989" t="s">
        <v>8</v>
      </c>
      <c r="I989" t="s">
        <v>36</v>
      </c>
      <c r="J989">
        <v>4</v>
      </c>
      <c r="K989" t="s">
        <v>4</v>
      </c>
      <c r="L989" t="s">
        <v>13</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1071</v>
      </c>
      <c r="B990" t="s">
        <v>1</v>
      </c>
      <c r="C990">
        <v>3</v>
      </c>
      <c r="D990">
        <v>32</v>
      </c>
      <c r="E990">
        <v>96</v>
      </c>
      <c r="F990" s="1">
        <v>45697</v>
      </c>
      <c r="G990" s="1">
        <v>45701</v>
      </c>
      <c r="H990" t="s">
        <v>12</v>
      </c>
      <c r="I990" t="s">
        <v>20</v>
      </c>
      <c r="J990">
        <v>4</v>
      </c>
      <c r="K990" t="s">
        <v>4</v>
      </c>
      <c r="L990" t="s">
        <v>132</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1072</v>
      </c>
      <c r="B991" t="s">
        <v>7</v>
      </c>
      <c r="C991">
        <v>1</v>
      </c>
      <c r="D991">
        <v>47.1</v>
      </c>
      <c r="E991">
        <v>47.1</v>
      </c>
      <c r="F991" s="1">
        <v>45697</v>
      </c>
      <c r="G991" s="1">
        <v>45698</v>
      </c>
      <c r="H991" t="s">
        <v>12</v>
      </c>
      <c r="I991" t="s">
        <v>3</v>
      </c>
      <c r="J991">
        <v>4</v>
      </c>
      <c r="K991" t="s">
        <v>4</v>
      </c>
      <c r="L991" t="s">
        <v>319</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1073</v>
      </c>
      <c r="B992" t="s">
        <v>24</v>
      </c>
      <c r="C992">
        <v>2</v>
      </c>
      <c r="D992">
        <v>50.6</v>
      </c>
      <c r="E992">
        <v>101.2</v>
      </c>
      <c r="F992" s="1">
        <v>45697</v>
      </c>
      <c r="G992" s="1">
        <v>45703</v>
      </c>
      <c r="H992" t="s">
        <v>2</v>
      </c>
      <c r="I992" t="s">
        <v>3</v>
      </c>
      <c r="J992">
        <v>4</v>
      </c>
      <c r="K992" t="s">
        <v>4</v>
      </c>
      <c r="L992" t="s">
        <v>18</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1074</v>
      </c>
      <c r="B993" t="s">
        <v>24</v>
      </c>
      <c r="C993">
        <v>5</v>
      </c>
      <c r="D993">
        <v>81.7</v>
      </c>
      <c r="E993">
        <v>408.5</v>
      </c>
      <c r="F993" s="1">
        <v>45697</v>
      </c>
      <c r="G993" s="1">
        <v>45698</v>
      </c>
      <c r="H993" t="s">
        <v>12</v>
      </c>
      <c r="I993" t="s">
        <v>20</v>
      </c>
      <c r="J993">
        <v>5</v>
      </c>
      <c r="K993" t="s">
        <v>4</v>
      </c>
      <c r="L993" t="s">
        <v>18</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1075</v>
      </c>
      <c r="B994" t="s">
        <v>22</v>
      </c>
      <c r="C994">
        <v>2</v>
      </c>
      <c r="D994">
        <v>50.7</v>
      </c>
      <c r="E994">
        <v>101.4</v>
      </c>
      <c r="F994" s="1">
        <v>45697</v>
      </c>
      <c r="G994" s="1">
        <v>45698</v>
      </c>
      <c r="H994" t="s">
        <v>74</v>
      </c>
      <c r="I994" t="s">
        <v>25</v>
      </c>
      <c r="J994">
        <v>5</v>
      </c>
      <c r="K994" t="s">
        <v>4</v>
      </c>
      <c r="L994" t="s">
        <v>18</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1076</v>
      </c>
      <c r="B995" t="s">
        <v>11</v>
      </c>
      <c r="C995">
        <v>19</v>
      </c>
      <c r="D995">
        <v>67.3</v>
      </c>
      <c r="E995">
        <v>1278.7</v>
      </c>
      <c r="F995" s="1">
        <v>45697</v>
      </c>
      <c r="G995" s="1">
        <v>45701</v>
      </c>
      <c r="H995" t="s">
        <v>12</v>
      </c>
      <c r="I995" t="s">
        <v>25</v>
      </c>
      <c r="J995">
        <v>4</v>
      </c>
      <c r="K995" t="s">
        <v>4</v>
      </c>
      <c r="L995" t="s">
        <v>18</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1077</v>
      </c>
      <c r="B996" t="s">
        <v>11</v>
      </c>
      <c r="C996">
        <v>4</v>
      </c>
      <c r="D996">
        <v>64.8</v>
      </c>
      <c r="E996">
        <v>259.2</v>
      </c>
      <c r="F996" s="1">
        <v>45697</v>
      </c>
      <c r="G996" s="1">
        <v>45700</v>
      </c>
      <c r="H996" t="s">
        <v>12</v>
      </c>
      <c r="I996" t="s">
        <v>36</v>
      </c>
      <c r="J996">
        <v>4</v>
      </c>
      <c r="K996" t="s">
        <v>4</v>
      </c>
      <c r="L996" t="s">
        <v>18</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1078</v>
      </c>
      <c r="B997" t="s">
        <v>22</v>
      </c>
      <c r="C997">
        <v>22</v>
      </c>
      <c r="D997">
        <v>61.3</v>
      </c>
      <c r="E997">
        <v>1348.6</v>
      </c>
      <c r="F997" s="1">
        <v>45697</v>
      </c>
      <c r="G997" s="1">
        <v>45698</v>
      </c>
      <c r="H997" t="s">
        <v>12</v>
      </c>
      <c r="I997" t="s">
        <v>3</v>
      </c>
      <c r="J997">
        <v>5</v>
      </c>
      <c r="K997" t="s">
        <v>4</v>
      </c>
      <c r="L997" t="s">
        <v>18</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1079</v>
      </c>
      <c r="B998" t="s">
        <v>66</v>
      </c>
      <c r="C998">
        <v>1</v>
      </c>
      <c r="D998">
        <v>32.9</v>
      </c>
      <c r="E998">
        <v>32.9</v>
      </c>
      <c r="F998" s="1">
        <v>45697</v>
      </c>
      <c r="G998" s="1">
        <v>45700</v>
      </c>
      <c r="H998" t="s">
        <v>12</v>
      </c>
      <c r="I998" t="s">
        <v>55</v>
      </c>
      <c r="J998">
        <v>4</v>
      </c>
      <c r="K998" t="s">
        <v>4</v>
      </c>
      <c r="L998" t="s">
        <v>18</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1080</v>
      </c>
      <c r="B999" t="s">
        <v>24</v>
      </c>
      <c r="C999">
        <v>2</v>
      </c>
      <c r="D999">
        <v>100.8</v>
      </c>
      <c r="E999">
        <v>201.6</v>
      </c>
      <c r="F999" s="1">
        <v>45697</v>
      </c>
      <c r="G999" s="1">
        <v>45700</v>
      </c>
      <c r="H999" t="s">
        <v>12</v>
      </c>
      <c r="I999" t="s">
        <v>3</v>
      </c>
      <c r="J999">
        <v>4</v>
      </c>
      <c r="K999" t="s">
        <v>4</v>
      </c>
      <c r="L999" t="s">
        <v>18</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1081</v>
      </c>
      <c r="B1000" t="s">
        <v>29</v>
      </c>
      <c r="C1000">
        <v>4</v>
      </c>
      <c r="D1000">
        <v>25.1</v>
      </c>
      <c r="E1000">
        <v>100.4</v>
      </c>
      <c r="F1000" s="1">
        <v>45697</v>
      </c>
      <c r="G1000" s="1">
        <v>45699</v>
      </c>
      <c r="H1000" t="s">
        <v>12</v>
      </c>
      <c r="I1000" t="s">
        <v>20</v>
      </c>
      <c r="J1000">
        <v>4</v>
      </c>
      <c r="K1000" t="s">
        <v>4</v>
      </c>
      <c r="L1000" t="s">
        <v>18</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1082</v>
      </c>
      <c r="B1001" t="s">
        <v>120</v>
      </c>
      <c r="C1001">
        <v>1</v>
      </c>
      <c r="D1001">
        <v>48.5</v>
      </c>
      <c r="E1001">
        <v>48.5</v>
      </c>
      <c r="F1001" s="1">
        <v>45697</v>
      </c>
      <c r="G1001" s="1">
        <v>45698</v>
      </c>
      <c r="H1001" t="s">
        <v>12</v>
      </c>
      <c r="I1001" t="s">
        <v>3</v>
      </c>
      <c r="J1001">
        <v>3</v>
      </c>
      <c r="K1001" t="s">
        <v>4</v>
      </c>
      <c r="L1001" t="s">
        <v>18</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1083</v>
      </c>
      <c r="B1002" t="s">
        <v>27</v>
      </c>
      <c r="C1002">
        <v>2</v>
      </c>
      <c r="D1002">
        <v>33.6</v>
      </c>
      <c r="E1002">
        <v>67.2</v>
      </c>
      <c r="F1002" s="1">
        <v>45697</v>
      </c>
      <c r="G1002" s="1">
        <v>45701</v>
      </c>
      <c r="H1002" t="s">
        <v>12</v>
      </c>
      <c r="I1002" t="s">
        <v>25</v>
      </c>
      <c r="J1002">
        <v>5</v>
      </c>
      <c r="K1002" t="s">
        <v>4</v>
      </c>
      <c r="L1002" t="s">
        <v>18</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1084</v>
      </c>
      <c r="B1003" t="s">
        <v>29</v>
      </c>
      <c r="C1003">
        <v>1</v>
      </c>
      <c r="D1003">
        <v>39.299999999999997</v>
      </c>
      <c r="E1003">
        <v>39.299999999999997</v>
      </c>
      <c r="F1003" s="1">
        <v>45697</v>
      </c>
      <c r="G1003" s="1">
        <v>45708</v>
      </c>
      <c r="H1003" t="s">
        <v>12</v>
      </c>
      <c r="I1003" t="s">
        <v>20</v>
      </c>
      <c r="J1003">
        <v>3</v>
      </c>
      <c r="K1003" t="s">
        <v>4</v>
      </c>
      <c r="L1003" t="s">
        <v>787</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1085</v>
      </c>
      <c r="B1004" t="s">
        <v>17</v>
      </c>
      <c r="C1004">
        <v>10</v>
      </c>
      <c r="D1004">
        <v>48.8</v>
      </c>
      <c r="E1004">
        <v>488</v>
      </c>
      <c r="F1004" s="1">
        <v>45697</v>
      </c>
      <c r="G1004" s="1">
        <v>45699</v>
      </c>
      <c r="H1004" t="s">
        <v>12</v>
      </c>
      <c r="I1004" t="s">
        <v>36</v>
      </c>
      <c r="J1004">
        <v>3</v>
      </c>
      <c r="K1004" t="s">
        <v>4</v>
      </c>
      <c r="L1004" t="s">
        <v>173</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1086</v>
      </c>
      <c r="B1005" t="s">
        <v>24</v>
      </c>
      <c r="C1005">
        <v>8</v>
      </c>
      <c r="D1005">
        <v>72.8</v>
      </c>
      <c r="E1005">
        <v>582.4</v>
      </c>
      <c r="F1005" s="1">
        <v>45697</v>
      </c>
      <c r="G1005" s="1">
        <v>45699</v>
      </c>
      <c r="H1005" t="s">
        <v>8</v>
      </c>
      <c r="I1005" t="s">
        <v>20</v>
      </c>
      <c r="J1005">
        <v>5</v>
      </c>
      <c r="K1005" t="s">
        <v>4</v>
      </c>
      <c r="L1005" t="s">
        <v>37</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1087</v>
      </c>
      <c r="B1006" t="s">
        <v>39</v>
      </c>
      <c r="C1006">
        <v>8</v>
      </c>
      <c r="D1006">
        <v>46.2</v>
      </c>
      <c r="E1006">
        <v>369.6</v>
      </c>
      <c r="F1006" s="1">
        <v>45697</v>
      </c>
      <c r="G1006" s="1">
        <v>45698</v>
      </c>
      <c r="H1006" t="s">
        <v>8</v>
      </c>
      <c r="I1006" t="s">
        <v>36</v>
      </c>
      <c r="J1006">
        <v>2</v>
      </c>
      <c r="K1006" t="s">
        <v>4</v>
      </c>
      <c r="L1006" t="s">
        <v>37</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1088</v>
      </c>
      <c r="B1007" t="s">
        <v>17</v>
      </c>
      <c r="C1007">
        <v>2</v>
      </c>
      <c r="D1007">
        <v>20.7</v>
      </c>
      <c r="E1007">
        <v>41.4</v>
      </c>
      <c r="F1007" s="1">
        <v>45697</v>
      </c>
      <c r="G1007" s="1">
        <v>45698</v>
      </c>
      <c r="H1007" t="s">
        <v>12</v>
      </c>
      <c r="I1007" t="s">
        <v>25</v>
      </c>
      <c r="J1007">
        <v>1</v>
      </c>
      <c r="K1007" t="s">
        <v>4</v>
      </c>
      <c r="L1007" t="s">
        <v>40</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1089</v>
      </c>
      <c r="B1008" t="s">
        <v>1</v>
      </c>
      <c r="C1008">
        <v>1</v>
      </c>
      <c r="D1008">
        <v>35.700000000000003</v>
      </c>
      <c r="E1008">
        <v>35.700000000000003</v>
      </c>
      <c r="F1008" s="1">
        <v>45697</v>
      </c>
      <c r="G1008" s="1">
        <v>45699</v>
      </c>
      <c r="H1008" t="s">
        <v>12</v>
      </c>
      <c r="I1008" t="s">
        <v>36</v>
      </c>
      <c r="J1008">
        <v>4</v>
      </c>
      <c r="K1008" t="s">
        <v>4</v>
      </c>
      <c r="L1008" t="s">
        <v>40</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1090</v>
      </c>
      <c r="B1009" t="s">
        <v>11</v>
      </c>
      <c r="C1009">
        <v>16</v>
      </c>
      <c r="D1009">
        <v>166.2</v>
      </c>
      <c r="E1009">
        <v>2659.2</v>
      </c>
      <c r="F1009" s="1">
        <v>45697</v>
      </c>
      <c r="G1009" s="1">
        <v>45699</v>
      </c>
      <c r="H1009" t="s">
        <v>2</v>
      </c>
      <c r="I1009" t="s">
        <v>25</v>
      </c>
      <c r="J1009">
        <v>4</v>
      </c>
      <c r="K1009" t="s">
        <v>4</v>
      </c>
      <c r="L1009" t="s">
        <v>44</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1091</v>
      </c>
      <c r="B1010" t="s">
        <v>24</v>
      </c>
      <c r="C1010">
        <v>4</v>
      </c>
      <c r="D1010">
        <v>85.8</v>
      </c>
      <c r="E1010">
        <v>343.2</v>
      </c>
      <c r="F1010" s="1">
        <v>45697</v>
      </c>
      <c r="G1010" s="1">
        <v>45698</v>
      </c>
      <c r="H1010" t="s">
        <v>12</v>
      </c>
      <c r="I1010" t="s">
        <v>20</v>
      </c>
      <c r="J1010">
        <v>3</v>
      </c>
      <c r="K1010" t="s">
        <v>4</v>
      </c>
      <c r="L1010" t="s">
        <v>44</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1092</v>
      </c>
      <c r="B1011" t="s">
        <v>29</v>
      </c>
      <c r="C1011">
        <v>3</v>
      </c>
      <c r="D1011">
        <v>26</v>
      </c>
      <c r="E1011">
        <v>78</v>
      </c>
      <c r="F1011" s="1">
        <v>45697</v>
      </c>
      <c r="G1011" s="1">
        <v>45699</v>
      </c>
      <c r="H1011" t="s">
        <v>74</v>
      </c>
      <c r="I1011" t="s">
        <v>20</v>
      </c>
      <c r="J1011">
        <v>4</v>
      </c>
      <c r="K1011" t="s">
        <v>4</v>
      </c>
      <c r="L1011" t="s">
        <v>44</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1093</v>
      </c>
      <c r="B1012" t="s">
        <v>11</v>
      </c>
      <c r="C1012">
        <v>13</v>
      </c>
      <c r="D1012">
        <v>116.6</v>
      </c>
      <c r="E1012">
        <v>1515.8</v>
      </c>
      <c r="F1012" s="1">
        <v>45697</v>
      </c>
      <c r="G1012" s="1">
        <v>45700</v>
      </c>
      <c r="H1012" t="s">
        <v>12</v>
      </c>
      <c r="I1012" t="s">
        <v>3</v>
      </c>
      <c r="J1012">
        <v>4</v>
      </c>
      <c r="K1012" t="s">
        <v>4</v>
      </c>
      <c r="L1012" t="s">
        <v>47</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1094</v>
      </c>
      <c r="B1013" t="s">
        <v>31</v>
      </c>
      <c r="C1013">
        <v>7</v>
      </c>
      <c r="D1013">
        <v>53.9</v>
      </c>
      <c r="E1013">
        <v>377.3</v>
      </c>
      <c r="F1013" s="1">
        <v>45697</v>
      </c>
      <c r="G1013" s="1">
        <v>45700</v>
      </c>
      <c r="H1013" t="s">
        <v>74</v>
      </c>
      <c r="I1013" t="s">
        <v>3</v>
      </c>
      <c r="J1013">
        <v>5</v>
      </c>
      <c r="K1013" t="s">
        <v>4</v>
      </c>
      <c r="L1013" t="s">
        <v>47</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1095</v>
      </c>
      <c r="B1014" t="s">
        <v>54</v>
      </c>
      <c r="C1014">
        <v>5</v>
      </c>
      <c r="D1014">
        <v>72.3</v>
      </c>
      <c r="E1014">
        <v>361.5</v>
      </c>
      <c r="F1014" s="1">
        <v>45697</v>
      </c>
      <c r="G1014" s="1">
        <v>45699</v>
      </c>
      <c r="H1014" t="s">
        <v>2</v>
      </c>
      <c r="I1014" t="s">
        <v>25</v>
      </c>
      <c r="J1014">
        <v>5</v>
      </c>
      <c r="K1014" t="s">
        <v>4</v>
      </c>
      <c r="L1014" t="s">
        <v>47</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1096</v>
      </c>
      <c r="B1015" t="s">
        <v>22</v>
      </c>
      <c r="C1015">
        <v>2</v>
      </c>
      <c r="D1015">
        <v>31.4</v>
      </c>
      <c r="E1015">
        <v>62.8</v>
      </c>
      <c r="F1015" s="1">
        <v>45697</v>
      </c>
      <c r="G1015" s="1">
        <v>45699</v>
      </c>
      <c r="H1015" t="s">
        <v>12</v>
      </c>
      <c r="I1015" t="s">
        <v>3</v>
      </c>
      <c r="J1015">
        <v>4</v>
      </c>
      <c r="K1015" t="s">
        <v>4</v>
      </c>
      <c r="L1015" t="s">
        <v>47</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1097</v>
      </c>
      <c r="B1016" t="s">
        <v>61</v>
      </c>
      <c r="C1016">
        <v>2</v>
      </c>
      <c r="D1016">
        <v>53.1</v>
      </c>
      <c r="E1016">
        <v>106.2</v>
      </c>
      <c r="F1016" s="1">
        <v>45697</v>
      </c>
      <c r="G1016" s="1">
        <v>45700</v>
      </c>
      <c r="H1016" t="s">
        <v>8</v>
      </c>
      <c r="I1016" t="s">
        <v>20</v>
      </c>
      <c r="J1016">
        <v>4</v>
      </c>
      <c r="K1016" t="s">
        <v>4</v>
      </c>
      <c r="L1016" t="s">
        <v>47</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1098</v>
      </c>
      <c r="B1017" t="s">
        <v>11</v>
      </c>
      <c r="C1017">
        <v>4</v>
      </c>
      <c r="D1017">
        <v>56.2</v>
      </c>
      <c r="E1017">
        <v>224.8</v>
      </c>
      <c r="F1017" s="1">
        <v>45697</v>
      </c>
      <c r="G1017" s="1">
        <v>45698</v>
      </c>
      <c r="H1017" t="s">
        <v>12</v>
      </c>
      <c r="I1017" t="s">
        <v>3</v>
      </c>
      <c r="J1017">
        <v>4</v>
      </c>
      <c r="K1017" t="s">
        <v>4</v>
      </c>
      <c r="L1017" t="s">
        <v>47</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1099</v>
      </c>
      <c r="B1018" t="s">
        <v>7</v>
      </c>
      <c r="C1018">
        <v>10</v>
      </c>
      <c r="D1018">
        <v>77.3</v>
      </c>
      <c r="E1018">
        <v>773</v>
      </c>
      <c r="F1018" s="1">
        <v>45697</v>
      </c>
      <c r="G1018" s="1">
        <v>45698</v>
      </c>
      <c r="H1018" t="s">
        <v>12</v>
      </c>
      <c r="I1018" t="s">
        <v>25</v>
      </c>
      <c r="J1018">
        <v>4</v>
      </c>
      <c r="K1018" t="s">
        <v>4</v>
      </c>
      <c r="L1018" t="s">
        <v>62</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1100</v>
      </c>
      <c r="B1019" t="s">
        <v>24</v>
      </c>
      <c r="C1019">
        <v>13</v>
      </c>
      <c r="D1019">
        <v>57.8</v>
      </c>
      <c r="E1019">
        <v>751.4</v>
      </c>
      <c r="F1019" s="1">
        <v>45697</v>
      </c>
      <c r="G1019" s="1">
        <v>45698</v>
      </c>
      <c r="H1019" t="s">
        <v>2</v>
      </c>
      <c r="I1019" t="s">
        <v>3</v>
      </c>
      <c r="J1019">
        <v>4</v>
      </c>
      <c r="K1019" t="s">
        <v>4</v>
      </c>
      <c r="L1019" t="s">
        <v>1101</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1102</v>
      </c>
      <c r="B1020" t="s">
        <v>54</v>
      </c>
      <c r="C1020">
        <v>15</v>
      </c>
      <c r="D1020">
        <v>42.1</v>
      </c>
      <c r="E1020">
        <v>631.5</v>
      </c>
      <c r="F1020" s="1">
        <v>45697</v>
      </c>
      <c r="G1020" s="1">
        <v>45699</v>
      </c>
      <c r="H1020" t="s">
        <v>12</v>
      </c>
      <c r="I1020" t="s">
        <v>20</v>
      </c>
      <c r="J1020">
        <v>3</v>
      </c>
      <c r="K1020" t="s">
        <v>4</v>
      </c>
      <c r="L1020" t="s">
        <v>1101</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1103</v>
      </c>
      <c r="B1021" t="s">
        <v>29</v>
      </c>
      <c r="C1021">
        <v>9</v>
      </c>
      <c r="D1021">
        <v>22.8</v>
      </c>
      <c r="E1021">
        <v>205.20000000000002</v>
      </c>
      <c r="F1021" s="1">
        <v>45697</v>
      </c>
      <c r="G1021" s="1">
        <v>45701</v>
      </c>
      <c r="H1021" t="s">
        <v>8</v>
      </c>
      <c r="I1021" t="s">
        <v>25</v>
      </c>
      <c r="J1021">
        <v>5</v>
      </c>
      <c r="K1021" t="s">
        <v>4</v>
      </c>
      <c r="L1021" t="s">
        <v>95</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1104</v>
      </c>
      <c r="B1022" t="s">
        <v>11</v>
      </c>
      <c r="C1022">
        <v>3</v>
      </c>
      <c r="D1022">
        <v>171.1</v>
      </c>
      <c r="E1022">
        <v>513.29999999999995</v>
      </c>
      <c r="F1022" s="1">
        <v>45698</v>
      </c>
      <c r="G1022" s="1">
        <v>45705</v>
      </c>
      <c r="H1022" t="s">
        <v>12</v>
      </c>
      <c r="I1022" t="s">
        <v>25</v>
      </c>
      <c r="J1022">
        <v>3</v>
      </c>
      <c r="K1022" t="s">
        <v>4</v>
      </c>
      <c r="L1022" t="s">
        <v>95</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1105</v>
      </c>
      <c r="B1023" t="s">
        <v>29</v>
      </c>
      <c r="C1023">
        <v>1</v>
      </c>
      <c r="D1023">
        <v>28</v>
      </c>
      <c r="E1023">
        <v>28</v>
      </c>
      <c r="F1023" s="1">
        <v>45698</v>
      </c>
      <c r="G1023" s="1">
        <v>45700</v>
      </c>
      <c r="H1023" t="s">
        <v>8</v>
      </c>
      <c r="I1023" t="s">
        <v>25</v>
      </c>
      <c r="J1023">
        <v>5</v>
      </c>
      <c r="K1023" t="s">
        <v>4</v>
      </c>
      <c r="L1023" t="s">
        <v>100</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1106</v>
      </c>
      <c r="B1024" t="s">
        <v>24</v>
      </c>
      <c r="C1024">
        <v>7</v>
      </c>
      <c r="D1024">
        <v>50.2</v>
      </c>
      <c r="E1024">
        <v>351.40000000000003</v>
      </c>
      <c r="F1024" s="1">
        <v>45698</v>
      </c>
      <c r="G1024" s="1">
        <v>45700</v>
      </c>
      <c r="H1024" t="s">
        <v>8</v>
      </c>
      <c r="I1024" t="s">
        <v>25</v>
      </c>
      <c r="J1024">
        <v>4</v>
      </c>
      <c r="K1024" t="s">
        <v>4</v>
      </c>
      <c r="L1024" t="s">
        <v>100</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1107</v>
      </c>
      <c r="B1025" t="s">
        <v>24</v>
      </c>
      <c r="C1025">
        <v>2</v>
      </c>
      <c r="D1025">
        <v>56</v>
      </c>
      <c r="E1025">
        <v>112</v>
      </c>
      <c r="F1025" s="1">
        <v>45698</v>
      </c>
      <c r="G1025" s="1">
        <v>45698</v>
      </c>
      <c r="H1025" t="s">
        <v>8</v>
      </c>
      <c r="I1025" t="s">
        <v>3</v>
      </c>
      <c r="J1025">
        <v>5</v>
      </c>
      <c r="K1025" t="s">
        <v>4</v>
      </c>
      <c r="L1025" t="s">
        <v>132</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1108</v>
      </c>
      <c r="B1026" t="s">
        <v>7</v>
      </c>
      <c r="C1026">
        <v>2</v>
      </c>
      <c r="D1026">
        <v>38.299999999999997</v>
      </c>
      <c r="E1026">
        <v>76.599999999999994</v>
      </c>
      <c r="F1026" s="1">
        <v>45698</v>
      </c>
      <c r="G1026" s="1">
        <v>45699</v>
      </c>
      <c r="H1026" t="s">
        <v>12</v>
      </c>
      <c r="I1026" t="s">
        <v>20</v>
      </c>
      <c r="J1026">
        <v>4</v>
      </c>
      <c r="K1026" t="s">
        <v>4</v>
      </c>
      <c r="L1026" t="s">
        <v>18</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1109</v>
      </c>
      <c r="B1027" t="s">
        <v>1</v>
      </c>
      <c r="C1027">
        <v>5</v>
      </c>
      <c r="D1027">
        <v>22.3</v>
      </c>
      <c r="E1027">
        <v>111.5</v>
      </c>
      <c r="F1027" s="1">
        <v>45698</v>
      </c>
      <c r="G1027" s="1">
        <v>45702</v>
      </c>
      <c r="H1027" t="s">
        <v>12</v>
      </c>
      <c r="I1027" t="s">
        <v>25</v>
      </c>
      <c r="J1027">
        <v>3</v>
      </c>
      <c r="K1027" t="s">
        <v>4</v>
      </c>
      <c r="L1027" t="s">
        <v>18</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1110</v>
      </c>
      <c r="B1028" t="s">
        <v>1</v>
      </c>
      <c r="C1028">
        <v>3</v>
      </c>
      <c r="D1028">
        <v>22.3</v>
      </c>
      <c r="E1028">
        <v>66.900000000000006</v>
      </c>
      <c r="F1028" s="1">
        <v>45698</v>
      </c>
      <c r="G1028" s="1">
        <v>45701</v>
      </c>
      <c r="H1028" t="s">
        <v>12</v>
      </c>
      <c r="I1028" t="s">
        <v>25</v>
      </c>
      <c r="J1028">
        <v>4</v>
      </c>
      <c r="K1028" t="s">
        <v>4</v>
      </c>
      <c r="L1028" t="s">
        <v>18</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1111</v>
      </c>
      <c r="B1029" t="s">
        <v>7</v>
      </c>
      <c r="C1029">
        <v>1</v>
      </c>
      <c r="D1029">
        <v>32.9</v>
      </c>
      <c r="E1029">
        <v>32.9</v>
      </c>
      <c r="F1029" s="1">
        <v>45698</v>
      </c>
      <c r="G1029" s="1">
        <v>45703</v>
      </c>
      <c r="H1029" t="s">
        <v>12</v>
      </c>
      <c r="I1029" t="s">
        <v>3</v>
      </c>
      <c r="J1029">
        <v>4</v>
      </c>
      <c r="K1029" t="s">
        <v>4</v>
      </c>
      <c r="L1029" t="s">
        <v>18</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1112</v>
      </c>
      <c r="B1030" t="s">
        <v>39</v>
      </c>
      <c r="C1030">
        <v>3</v>
      </c>
      <c r="D1030">
        <v>31.9</v>
      </c>
      <c r="E1030">
        <v>95.699999999999989</v>
      </c>
      <c r="F1030" s="1">
        <v>45698</v>
      </c>
      <c r="G1030" s="1">
        <v>45703</v>
      </c>
      <c r="H1030" t="s">
        <v>12</v>
      </c>
      <c r="I1030" t="s">
        <v>3</v>
      </c>
      <c r="J1030">
        <v>4</v>
      </c>
      <c r="K1030" t="s">
        <v>4</v>
      </c>
      <c r="L1030" t="s">
        <v>18</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1113</v>
      </c>
      <c r="B1031" t="s">
        <v>24</v>
      </c>
      <c r="C1031">
        <v>2</v>
      </c>
      <c r="D1031">
        <v>94</v>
      </c>
      <c r="E1031">
        <v>188</v>
      </c>
      <c r="F1031" s="1">
        <v>45698</v>
      </c>
      <c r="G1031" s="1">
        <v>45699</v>
      </c>
      <c r="H1031" t="s">
        <v>8</v>
      </c>
      <c r="I1031" t="s">
        <v>25</v>
      </c>
      <c r="J1031">
        <v>5</v>
      </c>
      <c r="K1031" t="s">
        <v>4</v>
      </c>
      <c r="L1031" t="s">
        <v>18</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1114</v>
      </c>
      <c r="B1032" t="s">
        <v>39</v>
      </c>
      <c r="C1032">
        <v>2</v>
      </c>
      <c r="D1032">
        <v>30.7</v>
      </c>
      <c r="E1032">
        <v>61.4</v>
      </c>
      <c r="F1032" s="1">
        <v>45698</v>
      </c>
      <c r="G1032" s="1">
        <v>45699</v>
      </c>
      <c r="H1032" t="s">
        <v>12</v>
      </c>
      <c r="I1032" t="s">
        <v>3</v>
      </c>
      <c r="J1032">
        <v>3</v>
      </c>
      <c r="K1032" t="s">
        <v>4</v>
      </c>
      <c r="L1032" t="s">
        <v>18</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1115</v>
      </c>
      <c r="B1033" t="s">
        <v>22</v>
      </c>
      <c r="C1033">
        <v>5</v>
      </c>
      <c r="D1033">
        <v>90.5</v>
      </c>
      <c r="E1033">
        <v>452.5</v>
      </c>
      <c r="F1033" s="1">
        <v>45698</v>
      </c>
      <c r="G1033" s="1">
        <v>45705</v>
      </c>
      <c r="H1033" t="s">
        <v>8</v>
      </c>
      <c r="I1033" t="s">
        <v>3</v>
      </c>
      <c r="J1033">
        <v>5</v>
      </c>
      <c r="K1033" t="s">
        <v>4</v>
      </c>
      <c r="L1033" t="s">
        <v>18</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1116</v>
      </c>
      <c r="B1034" t="s">
        <v>29</v>
      </c>
      <c r="C1034">
        <v>5</v>
      </c>
      <c r="D1034">
        <v>25.3</v>
      </c>
      <c r="E1034">
        <v>126.5</v>
      </c>
      <c r="F1034" s="1">
        <v>45698</v>
      </c>
      <c r="G1034" s="1">
        <v>45702</v>
      </c>
      <c r="H1034" t="s">
        <v>12</v>
      </c>
      <c r="I1034" t="s">
        <v>3</v>
      </c>
      <c r="J1034">
        <v>5</v>
      </c>
      <c r="K1034" t="s">
        <v>4</v>
      </c>
      <c r="L1034" t="s">
        <v>18</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1117</v>
      </c>
      <c r="B1035" t="s">
        <v>24</v>
      </c>
      <c r="C1035">
        <v>3</v>
      </c>
      <c r="D1035">
        <v>58.1</v>
      </c>
      <c r="E1035">
        <v>174.3</v>
      </c>
      <c r="F1035" s="1">
        <v>45698</v>
      </c>
      <c r="G1035" s="1">
        <v>45702</v>
      </c>
      <c r="H1035" t="s">
        <v>2</v>
      </c>
      <c r="I1035" t="s">
        <v>3</v>
      </c>
      <c r="J1035">
        <v>5</v>
      </c>
      <c r="K1035" t="s">
        <v>4</v>
      </c>
      <c r="L1035" t="s">
        <v>18</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1118</v>
      </c>
      <c r="B1036" t="s">
        <v>11</v>
      </c>
      <c r="C1036">
        <v>3</v>
      </c>
      <c r="D1036">
        <v>74.900000000000006</v>
      </c>
      <c r="E1036">
        <v>224.70000000000002</v>
      </c>
      <c r="F1036" s="1">
        <v>45698</v>
      </c>
      <c r="G1036" s="1">
        <v>45699</v>
      </c>
      <c r="H1036" t="s">
        <v>12</v>
      </c>
      <c r="I1036" t="s">
        <v>55</v>
      </c>
      <c r="J1036">
        <v>4</v>
      </c>
      <c r="K1036" t="s">
        <v>4</v>
      </c>
      <c r="L1036" t="s">
        <v>18</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1119</v>
      </c>
      <c r="B1037" t="s">
        <v>17</v>
      </c>
      <c r="C1037">
        <v>2</v>
      </c>
      <c r="D1037">
        <v>32.5</v>
      </c>
      <c r="E1037">
        <v>65</v>
      </c>
      <c r="F1037" s="1">
        <v>45698</v>
      </c>
      <c r="G1037" s="1">
        <v>45699</v>
      </c>
      <c r="H1037" t="s">
        <v>8</v>
      </c>
      <c r="I1037" t="s">
        <v>25</v>
      </c>
      <c r="J1037">
        <v>5</v>
      </c>
      <c r="K1037" t="s">
        <v>4</v>
      </c>
      <c r="L1037" t="s">
        <v>530</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1120</v>
      </c>
      <c r="B1038" t="s">
        <v>17</v>
      </c>
      <c r="C1038">
        <v>5</v>
      </c>
      <c r="D1038">
        <v>62</v>
      </c>
      <c r="E1038">
        <v>310</v>
      </c>
      <c r="F1038" s="1">
        <v>45698</v>
      </c>
      <c r="G1038" s="1">
        <v>45699</v>
      </c>
      <c r="H1038" t="s">
        <v>8</v>
      </c>
      <c r="I1038" t="s">
        <v>55</v>
      </c>
      <c r="J1038">
        <v>5</v>
      </c>
      <c r="K1038" t="s">
        <v>4</v>
      </c>
      <c r="L1038" t="s">
        <v>173</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1121</v>
      </c>
      <c r="B1039" t="s">
        <v>61</v>
      </c>
      <c r="C1039">
        <v>6</v>
      </c>
      <c r="D1039">
        <v>28.9</v>
      </c>
      <c r="E1039">
        <v>173.39999999999998</v>
      </c>
      <c r="F1039" s="1">
        <v>45698</v>
      </c>
      <c r="G1039" s="1">
        <v>45701</v>
      </c>
      <c r="H1039" t="s">
        <v>12</v>
      </c>
      <c r="I1039" t="s">
        <v>3</v>
      </c>
      <c r="J1039">
        <v>3</v>
      </c>
      <c r="K1039" t="s">
        <v>4</v>
      </c>
      <c r="L1039" t="s">
        <v>40</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1122</v>
      </c>
      <c r="B1040" t="s">
        <v>24</v>
      </c>
      <c r="C1040">
        <v>8</v>
      </c>
      <c r="D1040">
        <v>42.8</v>
      </c>
      <c r="E1040">
        <v>342.4</v>
      </c>
      <c r="F1040" s="1">
        <v>45698</v>
      </c>
      <c r="G1040" s="1">
        <v>45700</v>
      </c>
      <c r="H1040" t="s">
        <v>12</v>
      </c>
      <c r="I1040" t="s">
        <v>3</v>
      </c>
      <c r="J1040">
        <v>5</v>
      </c>
      <c r="K1040" t="s">
        <v>4</v>
      </c>
      <c r="L1040" t="s">
        <v>40</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1123</v>
      </c>
      <c r="B1041" t="s">
        <v>29</v>
      </c>
      <c r="C1041">
        <v>8</v>
      </c>
      <c r="D1041">
        <v>39.4</v>
      </c>
      <c r="E1041">
        <v>315.2</v>
      </c>
      <c r="F1041" s="1">
        <v>45698</v>
      </c>
      <c r="G1041" s="1">
        <v>45700</v>
      </c>
      <c r="H1041" t="s">
        <v>8</v>
      </c>
      <c r="I1041" t="s">
        <v>3</v>
      </c>
      <c r="J1041">
        <v>4</v>
      </c>
      <c r="K1041" t="s">
        <v>4</v>
      </c>
      <c r="L1041" t="s">
        <v>327</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1124</v>
      </c>
      <c r="B1042" t="s">
        <v>131</v>
      </c>
      <c r="C1042">
        <v>3</v>
      </c>
      <c r="D1042">
        <v>66.400000000000006</v>
      </c>
      <c r="E1042">
        <v>199.20000000000002</v>
      </c>
      <c r="F1042" s="1">
        <v>45698</v>
      </c>
      <c r="G1042" s="1">
        <v>45699</v>
      </c>
      <c r="H1042" t="s">
        <v>2</v>
      </c>
      <c r="I1042" t="s">
        <v>25</v>
      </c>
      <c r="J1042">
        <v>3</v>
      </c>
      <c r="K1042" t="s">
        <v>4</v>
      </c>
      <c r="L1042" t="s">
        <v>44</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1125</v>
      </c>
      <c r="B1043" t="s">
        <v>120</v>
      </c>
      <c r="C1043">
        <v>4</v>
      </c>
      <c r="D1043">
        <v>35.9</v>
      </c>
      <c r="E1043">
        <v>143.6</v>
      </c>
      <c r="F1043" s="1">
        <v>45698</v>
      </c>
      <c r="G1043" s="1">
        <v>45705</v>
      </c>
      <c r="H1043" t="s">
        <v>12</v>
      </c>
      <c r="I1043" t="s">
        <v>20</v>
      </c>
      <c r="J1043">
        <v>4</v>
      </c>
      <c r="K1043" t="s">
        <v>4</v>
      </c>
      <c r="L1043" t="s">
        <v>44</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1126</v>
      </c>
      <c r="B1044" t="s">
        <v>1</v>
      </c>
      <c r="C1044">
        <v>4</v>
      </c>
      <c r="D1044">
        <v>26.9</v>
      </c>
      <c r="E1044">
        <v>107.6</v>
      </c>
      <c r="F1044" s="1">
        <v>45698</v>
      </c>
      <c r="G1044" s="1">
        <v>45699</v>
      </c>
      <c r="H1044" t="s">
        <v>8</v>
      </c>
      <c r="I1044" t="s">
        <v>20</v>
      </c>
      <c r="J1044">
        <v>4</v>
      </c>
      <c r="K1044" t="s">
        <v>4</v>
      </c>
      <c r="L1044" t="s">
        <v>44</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1127</v>
      </c>
      <c r="B1045" t="s">
        <v>11</v>
      </c>
      <c r="C1045">
        <v>1</v>
      </c>
      <c r="D1045">
        <v>55.1</v>
      </c>
      <c r="E1045">
        <v>55.1</v>
      </c>
      <c r="F1045" s="1">
        <v>45698</v>
      </c>
      <c r="G1045" s="1">
        <v>45699</v>
      </c>
      <c r="H1045" t="s">
        <v>12</v>
      </c>
      <c r="I1045" t="s">
        <v>3</v>
      </c>
      <c r="J1045">
        <v>4</v>
      </c>
      <c r="K1045" t="s">
        <v>4</v>
      </c>
      <c r="L1045" t="s">
        <v>44</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1128</v>
      </c>
      <c r="B1046" t="s">
        <v>17</v>
      </c>
      <c r="C1046">
        <v>2</v>
      </c>
      <c r="D1046">
        <v>23.9</v>
      </c>
      <c r="E1046">
        <v>47.8</v>
      </c>
      <c r="F1046" s="1">
        <v>45698</v>
      </c>
      <c r="G1046" s="1">
        <v>45699</v>
      </c>
      <c r="H1046" t="s">
        <v>8</v>
      </c>
      <c r="I1046" t="s">
        <v>3</v>
      </c>
      <c r="J1046">
        <v>5</v>
      </c>
      <c r="K1046" t="s">
        <v>4</v>
      </c>
      <c r="L1046" t="s">
        <v>47</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1129</v>
      </c>
      <c r="B1047" t="s">
        <v>31</v>
      </c>
      <c r="C1047">
        <v>13</v>
      </c>
      <c r="D1047">
        <v>21.1</v>
      </c>
      <c r="E1047">
        <v>274.3</v>
      </c>
      <c r="F1047" s="1">
        <v>45698</v>
      </c>
      <c r="G1047" s="1">
        <v>45706</v>
      </c>
      <c r="H1047" t="s">
        <v>12</v>
      </c>
      <c r="I1047" t="s">
        <v>3</v>
      </c>
      <c r="J1047">
        <v>3</v>
      </c>
      <c r="K1047" t="s">
        <v>4</v>
      </c>
      <c r="L1047" t="s">
        <v>47</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1130</v>
      </c>
      <c r="B1048" t="s">
        <v>29</v>
      </c>
      <c r="C1048">
        <v>5</v>
      </c>
      <c r="D1048">
        <v>33.799999999999997</v>
      </c>
      <c r="E1048">
        <v>169</v>
      </c>
      <c r="F1048" s="1">
        <v>45698</v>
      </c>
      <c r="G1048" s="1">
        <v>45700</v>
      </c>
      <c r="H1048" t="s">
        <v>12</v>
      </c>
      <c r="I1048" t="s">
        <v>3</v>
      </c>
      <c r="J1048">
        <v>4</v>
      </c>
      <c r="K1048" t="s">
        <v>4</v>
      </c>
      <c r="L1048" t="s">
        <v>47</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1131</v>
      </c>
      <c r="B1049" t="s">
        <v>11</v>
      </c>
      <c r="C1049">
        <v>4</v>
      </c>
      <c r="D1049">
        <v>56.1</v>
      </c>
      <c r="E1049">
        <v>224.4</v>
      </c>
      <c r="F1049" s="1">
        <v>45698</v>
      </c>
      <c r="G1049" s="1">
        <v>45698</v>
      </c>
      <c r="H1049" t="s">
        <v>12</v>
      </c>
      <c r="I1049" t="s">
        <v>36</v>
      </c>
      <c r="J1049">
        <v>5</v>
      </c>
      <c r="K1049" t="s">
        <v>4</v>
      </c>
      <c r="L1049" t="s">
        <v>57</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1132</v>
      </c>
      <c r="B1050" t="s">
        <v>15</v>
      </c>
      <c r="C1050">
        <v>1</v>
      </c>
      <c r="D1050">
        <v>58.5</v>
      </c>
      <c r="E1050">
        <v>58.5</v>
      </c>
      <c r="F1050" s="1">
        <v>45699</v>
      </c>
      <c r="G1050" s="1">
        <v>45703</v>
      </c>
      <c r="H1050" t="s">
        <v>12</v>
      </c>
      <c r="I1050" t="s">
        <v>20</v>
      </c>
      <c r="J1050">
        <v>5</v>
      </c>
      <c r="K1050" t="s">
        <v>4</v>
      </c>
      <c r="L1050" t="s">
        <v>57</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1133</v>
      </c>
      <c r="B1051" t="s">
        <v>24</v>
      </c>
      <c r="C1051">
        <v>1</v>
      </c>
      <c r="D1051">
        <v>84.2</v>
      </c>
      <c r="E1051">
        <v>84.2</v>
      </c>
      <c r="F1051" s="1">
        <v>45699</v>
      </c>
      <c r="G1051" s="1">
        <v>45701</v>
      </c>
      <c r="H1051" t="s">
        <v>8</v>
      </c>
      <c r="I1051" t="s">
        <v>36</v>
      </c>
      <c r="J1051">
        <v>4</v>
      </c>
      <c r="K1051" t="s">
        <v>4</v>
      </c>
      <c r="L1051" t="s">
        <v>62</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1134</v>
      </c>
      <c r="B1052" t="s">
        <v>52</v>
      </c>
      <c r="C1052">
        <v>4</v>
      </c>
      <c r="D1052">
        <v>52</v>
      </c>
      <c r="E1052">
        <v>208</v>
      </c>
      <c r="F1052" s="1">
        <v>45699</v>
      </c>
      <c r="G1052" s="1">
        <v>45702</v>
      </c>
      <c r="H1052" t="s">
        <v>8</v>
      </c>
      <c r="I1052" t="s">
        <v>3</v>
      </c>
      <c r="J1052">
        <v>4</v>
      </c>
      <c r="K1052" t="s">
        <v>4</v>
      </c>
      <c r="L1052" t="s">
        <v>62</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1135</v>
      </c>
      <c r="B1053" t="s">
        <v>17</v>
      </c>
      <c r="C1053">
        <v>5</v>
      </c>
      <c r="D1053">
        <v>31.5</v>
      </c>
      <c r="E1053">
        <v>157.5</v>
      </c>
      <c r="F1053" s="1">
        <v>45699</v>
      </c>
      <c r="G1053" s="1">
        <v>45700</v>
      </c>
      <c r="H1053" t="s">
        <v>12</v>
      </c>
      <c r="I1053" t="s">
        <v>3</v>
      </c>
      <c r="J1053">
        <v>5</v>
      </c>
      <c r="K1053" t="s">
        <v>4</v>
      </c>
      <c r="L1053" t="s">
        <v>62</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1136</v>
      </c>
      <c r="B1054" t="s">
        <v>113</v>
      </c>
      <c r="C1054">
        <v>3</v>
      </c>
      <c r="D1054">
        <v>46.2</v>
      </c>
      <c r="E1054">
        <v>138.60000000000002</v>
      </c>
      <c r="F1054" s="1">
        <v>45699</v>
      </c>
      <c r="G1054" s="1">
        <v>45700</v>
      </c>
      <c r="H1054" t="s">
        <v>8</v>
      </c>
      <c r="I1054" t="s">
        <v>3</v>
      </c>
      <c r="J1054">
        <v>4</v>
      </c>
      <c r="K1054" t="s">
        <v>4</v>
      </c>
      <c r="L1054" t="s">
        <v>1101</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1137</v>
      </c>
      <c r="B1055" t="s">
        <v>11</v>
      </c>
      <c r="C1055">
        <v>6</v>
      </c>
      <c r="D1055">
        <v>135</v>
      </c>
      <c r="E1055">
        <v>810</v>
      </c>
      <c r="F1055" s="1">
        <v>45699</v>
      </c>
      <c r="G1055" s="1">
        <v>45700</v>
      </c>
      <c r="H1055" t="s">
        <v>12</v>
      </c>
      <c r="I1055" t="s">
        <v>20</v>
      </c>
      <c r="J1055">
        <v>5</v>
      </c>
      <c r="K1055" t="s">
        <v>4</v>
      </c>
      <c r="L1055" t="s">
        <v>93</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1138</v>
      </c>
      <c r="B1056" t="s">
        <v>54</v>
      </c>
      <c r="C1056">
        <v>3</v>
      </c>
      <c r="D1056">
        <v>92.2</v>
      </c>
      <c r="E1056">
        <v>276.60000000000002</v>
      </c>
      <c r="F1056" s="1">
        <v>45699</v>
      </c>
      <c r="G1056" s="1">
        <v>45703</v>
      </c>
      <c r="H1056" t="s">
        <v>8</v>
      </c>
      <c r="I1056" t="s">
        <v>3</v>
      </c>
      <c r="J1056">
        <v>4</v>
      </c>
      <c r="K1056" t="s">
        <v>4</v>
      </c>
      <c r="L1056" t="s">
        <v>100</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1139</v>
      </c>
      <c r="B1057" t="s">
        <v>29</v>
      </c>
      <c r="C1057">
        <v>1</v>
      </c>
      <c r="D1057">
        <v>36.6</v>
      </c>
      <c r="E1057">
        <v>36.6</v>
      </c>
      <c r="F1057" s="1">
        <v>45699</v>
      </c>
      <c r="G1057" s="1">
        <v>45701</v>
      </c>
      <c r="H1057" t="s">
        <v>8</v>
      </c>
      <c r="I1057" t="s">
        <v>25</v>
      </c>
      <c r="J1057">
        <v>5</v>
      </c>
      <c r="K1057" t="s">
        <v>4</v>
      </c>
      <c r="L1057" t="s">
        <v>100</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1140</v>
      </c>
      <c r="B1058" t="s">
        <v>31</v>
      </c>
      <c r="C1058">
        <v>2</v>
      </c>
      <c r="D1058">
        <v>50.6</v>
      </c>
      <c r="E1058">
        <v>101.2</v>
      </c>
      <c r="F1058" s="1">
        <v>45699</v>
      </c>
      <c r="G1058" s="1">
        <v>45702</v>
      </c>
      <c r="H1058" t="s">
        <v>12</v>
      </c>
      <c r="I1058" t="s">
        <v>3</v>
      </c>
      <c r="J1058">
        <v>4</v>
      </c>
      <c r="K1058" t="s">
        <v>4</v>
      </c>
      <c r="L1058" t="s">
        <v>13</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1141</v>
      </c>
      <c r="B1059" t="s">
        <v>131</v>
      </c>
      <c r="C1059">
        <v>7</v>
      </c>
      <c r="D1059">
        <v>56.7</v>
      </c>
      <c r="E1059">
        <v>396.90000000000003</v>
      </c>
      <c r="F1059" s="1">
        <v>45699</v>
      </c>
      <c r="G1059" s="1">
        <v>45702</v>
      </c>
      <c r="H1059" t="s">
        <v>12</v>
      </c>
      <c r="I1059" t="s">
        <v>3</v>
      </c>
      <c r="J1059">
        <v>4</v>
      </c>
      <c r="K1059" t="s">
        <v>4</v>
      </c>
      <c r="L1059" t="s">
        <v>13</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1142</v>
      </c>
      <c r="B1060" t="s">
        <v>31</v>
      </c>
      <c r="C1060">
        <v>13</v>
      </c>
      <c r="D1060">
        <v>22.9</v>
      </c>
      <c r="E1060">
        <v>297.7</v>
      </c>
      <c r="F1060" s="1">
        <v>45699</v>
      </c>
      <c r="G1060" s="1">
        <v>45700</v>
      </c>
      <c r="H1060" t="s">
        <v>12</v>
      </c>
      <c r="I1060" t="s">
        <v>3</v>
      </c>
      <c r="J1060">
        <v>3</v>
      </c>
      <c r="K1060" t="s">
        <v>4</v>
      </c>
      <c r="L1060" t="s">
        <v>572</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1143</v>
      </c>
      <c r="B1061" t="s">
        <v>108</v>
      </c>
      <c r="C1061">
        <v>19</v>
      </c>
      <c r="D1061">
        <v>53.6</v>
      </c>
      <c r="E1061">
        <v>1018.4</v>
      </c>
      <c r="F1061" s="1">
        <v>45699</v>
      </c>
      <c r="G1061" s="1">
        <v>45700</v>
      </c>
      <c r="H1061" t="s">
        <v>8</v>
      </c>
      <c r="I1061" t="s">
        <v>3</v>
      </c>
      <c r="J1061">
        <v>4</v>
      </c>
      <c r="K1061" t="s">
        <v>4</v>
      </c>
      <c r="L1061" t="s">
        <v>132</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1144</v>
      </c>
      <c r="B1062" t="s">
        <v>131</v>
      </c>
      <c r="C1062">
        <v>2</v>
      </c>
      <c r="D1062">
        <v>30.2</v>
      </c>
      <c r="E1062">
        <v>60.4</v>
      </c>
      <c r="F1062" s="1">
        <v>45699</v>
      </c>
      <c r="G1062" s="1">
        <v>45701</v>
      </c>
      <c r="H1062" t="s">
        <v>2</v>
      </c>
      <c r="I1062" t="s">
        <v>25</v>
      </c>
      <c r="J1062">
        <v>5</v>
      </c>
      <c r="K1062" t="s">
        <v>4</v>
      </c>
      <c r="L1062" t="s">
        <v>18</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1145</v>
      </c>
      <c r="B1063" t="s">
        <v>108</v>
      </c>
      <c r="C1063">
        <v>6</v>
      </c>
      <c r="D1063">
        <v>83.4</v>
      </c>
      <c r="E1063">
        <v>500.40000000000003</v>
      </c>
      <c r="F1063" s="1">
        <v>45699</v>
      </c>
      <c r="G1063" s="1">
        <v>45700</v>
      </c>
      <c r="H1063" t="s">
        <v>8</v>
      </c>
      <c r="I1063" t="s">
        <v>20</v>
      </c>
      <c r="J1063">
        <v>5</v>
      </c>
      <c r="K1063" t="s">
        <v>4</v>
      </c>
      <c r="L1063" t="s">
        <v>18</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1146</v>
      </c>
      <c r="B1064" t="s">
        <v>61</v>
      </c>
      <c r="C1064">
        <v>12</v>
      </c>
      <c r="D1064">
        <v>16.600000000000001</v>
      </c>
      <c r="E1064">
        <v>199.20000000000002</v>
      </c>
      <c r="F1064" s="1">
        <v>45699</v>
      </c>
      <c r="G1064" s="1">
        <v>45701</v>
      </c>
      <c r="H1064" t="s">
        <v>8</v>
      </c>
      <c r="I1064" t="s">
        <v>20</v>
      </c>
      <c r="J1064">
        <v>4</v>
      </c>
      <c r="K1064" t="s">
        <v>4</v>
      </c>
      <c r="L1064" t="s">
        <v>18</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1147</v>
      </c>
      <c r="B1065" t="s">
        <v>29</v>
      </c>
      <c r="C1065">
        <v>17</v>
      </c>
      <c r="D1065">
        <v>21.9</v>
      </c>
      <c r="E1065">
        <v>372.29999999999995</v>
      </c>
      <c r="F1065" s="1">
        <v>45699</v>
      </c>
      <c r="G1065" s="1">
        <v>45701</v>
      </c>
      <c r="H1065" t="s">
        <v>12</v>
      </c>
      <c r="I1065" t="s">
        <v>55</v>
      </c>
      <c r="J1065">
        <v>3</v>
      </c>
      <c r="K1065" t="s">
        <v>4</v>
      </c>
      <c r="L1065" t="s">
        <v>18</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1148</v>
      </c>
      <c r="B1066" t="s">
        <v>29</v>
      </c>
      <c r="C1066">
        <v>28</v>
      </c>
      <c r="D1066">
        <v>33.799999999999997</v>
      </c>
      <c r="E1066">
        <v>946.39999999999986</v>
      </c>
      <c r="F1066" s="1">
        <v>45699</v>
      </c>
      <c r="G1066" s="1">
        <v>45701</v>
      </c>
      <c r="H1066" t="s">
        <v>8</v>
      </c>
      <c r="I1066" t="s">
        <v>25</v>
      </c>
      <c r="J1066">
        <v>2</v>
      </c>
      <c r="K1066" t="s">
        <v>4</v>
      </c>
      <c r="L1066" t="s">
        <v>18</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1149</v>
      </c>
      <c r="B1067" t="s">
        <v>131</v>
      </c>
      <c r="C1067">
        <v>2</v>
      </c>
      <c r="D1067">
        <v>53.2</v>
      </c>
      <c r="E1067">
        <v>106.4</v>
      </c>
      <c r="F1067" s="1">
        <v>45699</v>
      </c>
      <c r="G1067" s="1">
        <v>45699</v>
      </c>
      <c r="H1067" t="s">
        <v>8</v>
      </c>
      <c r="I1067" t="s">
        <v>20</v>
      </c>
      <c r="J1067">
        <v>4</v>
      </c>
      <c r="K1067" t="s">
        <v>4</v>
      </c>
      <c r="L1067" t="s">
        <v>18</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1150</v>
      </c>
      <c r="B1068" t="s">
        <v>11</v>
      </c>
      <c r="C1068">
        <v>2</v>
      </c>
      <c r="D1068">
        <v>176.7</v>
      </c>
      <c r="E1068">
        <v>353.4</v>
      </c>
      <c r="F1068" s="1">
        <v>45699</v>
      </c>
      <c r="G1068" s="1">
        <v>45702</v>
      </c>
      <c r="H1068" t="s">
        <v>12</v>
      </c>
      <c r="I1068" t="s">
        <v>25</v>
      </c>
      <c r="J1068">
        <v>4</v>
      </c>
      <c r="K1068" t="s">
        <v>4</v>
      </c>
      <c r="L1068" t="s">
        <v>18</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1151</v>
      </c>
      <c r="B1069" t="s">
        <v>54</v>
      </c>
      <c r="C1069">
        <v>3</v>
      </c>
      <c r="D1069">
        <v>54</v>
      </c>
      <c r="E1069">
        <v>162</v>
      </c>
      <c r="F1069" s="1">
        <v>45699</v>
      </c>
      <c r="G1069" s="1">
        <v>45702</v>
      </c>
      <c r="H1069" t="s">
        <v>8</v>
      </c>
      <c r="I1069" t="s">
        <v>3</v>
      </c>
      <c r="J1069">
        <v>3</v>
      </c>
      <c r="K1069" t="s">
        <v>4</v>
      </c>
      <c r="L1069" t="s">
        <v>18</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1152</v>
      </c>
      <c r="B1070" t="s">
        <v>31</v>
      </c>
      <c r="C1070">
        <v>2</v>
      </c>
      <c r="D1070">
        <v>70.099999999999994</v>
      </c>
      <c r="E1070">
        <v>140.19999999999999</v>
      </c>
      <c r="F1070" s="1">
        <v>45699</v>
      </c>
      <c r="G1070" s="1">
        <v>45707</v>
      </c>
      <c r="H1070" t="s">
        <v>12</v>
      </c>
      <c r="I1070" t="s">
        <v>36</v>
      </c>
      <c r="J1070">
        <v>5</v>
      </c>
      <c r="K1070" t="s">
        <v>4</v>
      </c>
      <c r="L1070" t="s">
        <v>18</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1153</v>
      </c>
      <c r="B1071" t="s">
        <v>29</v>
      </c>
      <c r="C1071">
        <v>1</v>
      </c>
      <c r="D1071">
        <v>26.5</v>
      </c>
      <c r="E1071">
        <v>26.5</v>
      </c>
      <c r="F1071" s="1">
        <v>45699</v>
      </c>
      <c r="G1071" s="1">
        <v>45701</v>
      </c>
      <c r="H1071" t="s">
        <v>12</v>
      </c>
      <c r="I1071" t="s">
        <v>20</v>
      </c>
      <c r="J1071">
        <v>4</v>
      </c>
      <c r="K1071" t="s">
        <v>4</v>
      </c>
      <c r="L1071" t="s">
        <v>18</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1154</v>
      </c>
      <c r="B1072" t="s">
        <v>27</v>
      </c>
      <c r="C1072">
        <v>5</v>
      </c>
      <c r="D1072">
        <v>89</v>
      </c>
      <c r="E1072">
        <v>445</v>
      </c>
      <c r="F1072" s="1">
        <v>45699</v>
      </c>
      <c r="G1072" s="1">
        <v>45701</v>
      </c>
      <c r="H1072" t="s">
        <v>8</v>
      </c>
      <c r="I1072" t="s">
        <v>25</v>
      </c>
      <c r="J1072">
        <v>2</v>
      </c>
      <c r="K1072" t="s">
        <v>4</v>
      </c>
      <c r="L1072" t="s">
        <v>18</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1155</v>
      </c>
      <c r="B1073" t="s">
        <v>7</v>
      </c>
      <c r="C1073">
        <v>6</v>
      </c>
      <c r="D1073">
        <v>47</v>
      </c>
      <c r="E1073">
        <v>282</v>
      </c>
      <c r="F1073" s="1">
        <v>45699</v>
      </c>
      <c r="G1073" s="1">
        <v>45702</v>
      </c>
      <c r="H1073" t="s">
        <v>12</v>
      </c>
      <c r="I1073" t="s">
        <v>36</v>
      </c>
      <c r="J1073">
        <v>4</v>
      </c>
      <c r="K1073" t="s">
        <v>4</v>
      </c>
      <c r="L1073" t="s">
        <v>171</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1156</v>
      </c>
      <c r="B1074" t="s">
        <v>15</v>
      </c>
      <c r="C1074">
        <v>2</v>
      </c>
      <c r="D1074">
        <v>55.2</v>
      </c>
      <c r="E1074">
        <v>110.4</v>
      </c>
      <c r="F1074" s="1">
        <v>45699</v>
      </c>
      <c r="G1074" s="1">
        <v>45702</v>
      </c>
      <c r="H1074" t="s">
        <v>8</v>
      </c>
      <c r="I1074" t="s">
        <v>20</v>
      </c>
      <c r="J1074">
        <v>3</v>
      </c>
      <c r="K1074" t="s">
        <v>4</v>
      </c>
      <c r="L1074" t="s">
        <v>40</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1157</v>
      </c>
      <c r="B1075" t="s">
        <v>29</v>
      </c>
      <c r="C1075">
        <v>42</v>
      </c>
      <c r="D1075">
        <v>33.299999999999997</v>
      </c>
      <c r="E1075">
        <v>1398.6</v>
      </c>
      <c r="F1075" s="1">
        <v>45699</v>
      </c>
      <c r="G1075" s="1">
        <v>45713</v>
      </c>
      <c r="H1075" t="s">
        <v>8</v>
      </c>
      <c r="I1075" t="s">
        <v>20</v>
      </c>
      <c r="J1075">
        <v>5</v>
      </c>
      <c r="K1075" t="s">
        <v>4</v>
      </c>
      <c r="L1075" t="s">
        <v>40</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1158</v>
      </c>
      <c r="B1076" t="s">
        <v>11</v>
      </c>
      <c r="C1076">
        <v>4</v>
      </c>
      <c r="D1076">
        <v>110.9</v>
      </c>
      <c r="E1076">
        <v>443.6</v>
      </c>
      <c r="F1076" s="1">
        <v>45700</v>
      </c>
      <c r="G1076" s="1">
        <v>45700</v>
      </c>
      <c r="H1076" t="s">
        <v>8</v>
      </c>
      <c r="I1076" t="s">
        <v>25</v>
      </c>
      <c r="J1076">
        <v>2</v>
      </c>
      <c r="K1076" t="s">
        <v>4</v>
      </c>
      <c r="L1076" t="s">
        <v>40</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1159</v>
      </c>
      <c r="B1077" t="s">
        <v>11</v>
      </c>
      <c r="C1077">
        <v>6</v>
      </c>
      <c r="D1077">
        <v>67.3</v>
      </c>
      <c r="E1077">
        <v>403.79999999999995</v>
      </c>
      <c r="F1077" s="1">
        <v>45700</v>
      </c>
      <c r="G1077" s="1">
        <v>45701</v>
      </c>
      <c r="H1077" t="s">
        <v>8</v>
      </c>
      <c r="I1077" t="s">
        <v>3</v>
      </c>
      <c r="J1077">
        <v>4</v>
      </c>
      <c r="K1077" t="s">
        <v>4</v>
      </c>
      <c r="L1077" t="s">
        <v>47</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1160</v>
      </c>
      <c r="B1078" t="s">
        <v>24</v>
      </c>
      <c r="C1078">
        <v>3</v>
      </c>
      <c r="D1078">
        <v>69.7</v>
      </c>
      <c r="E1078">
        <v>209.10000000000002</v>
      </c>
      <c r="F1078" s="1">
        <v>45700</v>
      </c>
      <c r="G1078" s="1">
        <v>45701</v>
      </c>
      <c r="H1078" t="s">
        <v>8</v>
      </c>
      <c r="I1078" t="s">
        <v>25</v>
      </c>
      <c r="J1078">
        <v>3</v>
      </c>
      <c r="K1078" t="s">
        <v>4</v>
      </c>
      <c r="L1078" t="s">
        <v>47</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1161</v>
      </c>
      <c r="B1079" t="s">
        <v>22</v>
      </c>
      <c r="C1079">
        <v>1</v>
      </c>
      <c r="D1079">
        <v>39.1</v>
      </c>
      <c r="E1079">
        <v>39.1</v>
      </c>
      <c r="F1079" s="1">
        <v>45700</v>
      </c>
      <c r="G1079" s="1">
        <v>45705</v>
      </c>
      <c r="H1079" t="s">
        <v>8</v>
      </c>
      <c r="I1079" t="s">
        <v>3</v>
      </c>
      <c r="J1079">
        <v>3</v>
      </c>
      <c r="K1079" t="s">
        <v>4</v>
      </c>
      <c r="L1079" t="s">
        <v>88</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1162</v>
      </c>
      <c r="B1080" t="s">
        <v>11</v>
      </c>
      <c r="C1080">
        <v>3</v>
      </c>
      <c r="D1080">
        <v>208.6</v>
      </c>
      <c r="E1080">
        <v>625.79999999999995</v>
      </c>
      <c r="F1080" s="1">
        <v>45700</v>
      </c>
      <c r="G1080" s="1">
        <v>45700</v>
      </c>
      <c r="H1080" t="s">
        <v>8</v>
      </c>
      <c r="I1080" t="s">
        <v>55</v>
      </c>
      <c r="J1080">
        <v>5</v>
      </c>
      <c r="K1080" t="s">
        <v>4</v>
      </c>
      <c r="L1080" t="s">
        <v>88</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1163</v>
      </c>
      <c r="B1081" t="s">
        <v>108</v>
      </c>
      <c r="C1081">
        <v>3</v>
      </c>
      <c r="D1081">
        <v>27.8</v>
      </c>
      <c r="E1081">
        <v>83.4</v>
      </c>
      <c r="F1081" s="1">
        <v>45700</v>
      </c>
      <c r="G1081" s="1">
        <v>45701</v>
      </c>
      <c r="H1081" t="s">
        <v>8</v>
      </c>
      <c r="I1081" t="s">
        <v>36</v>
      </c>
      <c r="J1081">
        <v>3</v>
      </c>
      <c r="K1081" t="s">
        <v>4</v>
      </c>
      <c r="L1081" t="s">
        <v>62</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1164</v>
      </c>
      <c r="B1082" t="s">
        <v>39</v>
      </c>
      <c r="C1082">
        <v>5</v>
      </c>
      <c r="D1082">
        <v>29.4</v>
      </c>
      <c r="E1082">
        <v>147</v>
      </c>
      <c r="F1082" s="1">
        <v>45700</v>
      </c>
      <c r="G1082" s="1">
        <v>45702</v>
      </c>
      <c r="H1082" t="s">
        <v>12</v>
      </c>
      <c r="I1082" t="s">
        <v>3</v>
      </c>
      <c r="J1082">
        <v>4</v>
      </c>
      <c r="K1082" t="s">
        <v>4</v>
      </c>
      <c r="L1082" t="s">
        <v>62</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1165</v>
      </c>
      <c r="B1083" t="s">
        <v>31</v>
      </c>
      <c r="C1083">
        <v>2</v>
      </c>
      <c r="D1083">
        <v>29.2</v>
      </c>
      <c r="E1083">
        <v>58.4</v>
      </c>
      <c r="F1083" s="1">
        <v>45700</v>
      </c>
      <c r="G1083" s="1">
        <v>45702</v>
      </c>
      <c r="H1083" t="s">
        <v>12</v>
      </c>
      <c r="I1083" t="s">
        <v>20</v>
      </c>
      <c r="J1083">
        <v>5</v>
      </c>
      <c r="K1083" t="s">
        <v>4</v>
      </c>
      <c r="L1083" t="s">
        <v>98</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1166</v>
      </c>
      <c r="B1084" t="s">
        <v>39</v>
      </c>
      <c r="C1084">
        <v>5</v>
      </c>
      <c r="D1084">
        <v>26.5</v>
      </c>
      <c r="E1084">
        <v>132.5</v>
      </c>
      <c r="F1084" s="1">
        <v>45700</v>
      </c>
      <c r="G1084" s="1">
        <v>45702</v>
      </c>
      <c r="H1084" t="s">
        <v>12</v>
      </c>
      <c r="I1084" t="s">
        <v>3</v>
      </c>
      <c r="J1084">
        <v>4</v>
      </c>
      <c r="K1084" t="s">
        <v>4</v>
      </c>
      <c r="L1084" t="s">
        <v>982</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1167</v>
      </c>
      <c r="B1085" t="s">
        <v>22</v>
      </c>
      <c r="C1085">
        <v>1</v>
      </c>
      <c r="D1085">
        <v>30.3</v>
      </c>
      <c r="E1085">
        <v>30.3</v>
      </c>
      <c r="F1085" s="1">
        <v>45700</v>
      </c>
      <c r="G1085" s="1">
        <v>45701</v>
      </c>
      <c r="H1085" t="s">
        <v>12</v>
      </c>
      <c r="I1085" t="s">
        <v>55</v>
      </c>
      <c r="J1085">
        <v>3</v>
      </c>
      <c r="K1085" t="s">
        <v>4</v>
      </c>
      <c r="L1085" t="s">
        <v>67</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1168</v>
      </c>
      <c r="B1086" t="s">
        <v>113</v>
      </c>
      <c r="C1086">
        <v>12</v>
      </c>
      <c r="D1086">
        <v>39.700000000000003</v>
      </c>
      <c r="E1086">
        <v>476.40000000000003</v>
      </c>
      <c r="F1086" s="1">
        <v>45700</v>
      </c>
      <c r="G1086" s="1">
        <v>45701</v>
      </c>
      <c r="H1086" t="s">
        <v>12</v>
      </c>
      <c r="I1086" t="s">
        <v>3</v>
      </c>
      <c r="J1086">
        <v>4</v>
      </c>
      <c r="K1086" t="s">
        <v>4</v>
      </c>
      <c r="L1086" t="s">
        <v>100</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1169</v>
      </c>
      <c r="B1087" t="s">
        <v>27</v>
      </c>
      <c r="C1087">
        <v>10</v>
      </c>
      <c r="D1087">
        <v>58.9</v>
      </c>
      <c r="E1087">
        <v>589</v>
      </c>
      <c r="F1087" s="1">
        <v>45700</v>
      </c>
      <c r="G1087" s="1">
        <v>45702</v>
      </c>
      <c r="H1087" t="s">
        <v>12</v>
      </c>
      <c r="I1087" t="s">
        <v>20</v>
      </c>
      <c r="J1087">
        <v>2</v>
      </c>
      <c r="K1087" t="s">
        <v>4</v>
      </c>
      <c r="L1087" t="s">
        <v>100</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1170</v>
      </c>
      <c r="B1088" t="s">
        <v>11</v>
      </c>
      <c r="C1088">
        <v>2</v>
      </c>
      <c r="D1088">
        <v>174.1</v>
      </c>
      <c r="E1088">
        <v>348.2</v>
      </c>
      <c r="F1088" s="1">
        <v>45700</v>
      </c>
      <c r="G1088" s="1">
        <v>45702</v>
      </c>
      <c r="H1088" t="s">
        <v>12</v>
      </c>
      <c r="I1088" t="s">
        <v>3</v>
      </c>
      <c r="J1088">
        <v>3</v>
      </c>
      <c r="K1088" t="s">
        <v>4</v>
      </c>
      <c r="L1088" t="s">
        <v>626</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1171</v>
      </c>
      <c r="B1089" t="s">
        <v>24</v>
      </c>
      <c r="C1089">
        <v>2</v>
      </c>
      <c r="D1089">
        <v>70.8</v>
      </c>
      <c r="E1089">
        <v>141.6</v>
      </c>
      <c r="F1089" s="1">
        <v>45700</v>
      </c>
      <c r="G1089" s="1">
        <v>45703</v>
      </c>
      <c r="H1089" t="s">
        <v>8</v>
      </c>
      <c r="I1089" t="s">
        <v>25</v>
      </c>
      <c r="J1089">
        <v>4</v>
      </c>
      <c r="K1089" t="s">
        <v>4</v>
      </c>
      <c r="L1089" t="s">
        <v>132</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1172</v>
      </c>
      <c r="B1090" t="s">
        <v>27</v>
      </c>
      <c r="C1090">
        <v>2</v>
      </c>
      <c r="D1090">
        <v>57.4</v>
      </c>
      <c r="E1090">
        <v>114.8</v>
      </c>
      <c r="F1090" s="1">
        <v>45700</v>
      </c>
      <c r="G1090" s="1">
        <v>45702</v>
      </c>
      <c r="H1090" t="s">
        <v>12</v>
      </c>
      <c r="I1090" t="s">
        <v>20</v>
      </c>
      <c r="J1090">
        <v>3</v>
      </c>
      <c r="K1090" t="s">
        <v>4</v>
      </c>
      <c r="L1090" t="s">
        <v>319</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1173</v>
      </c>
      <c r="B1091" t="s">
        <v>1</v>
      </c>
      <c r="C1091">
        <v>2</v>
      </c>
      <c r="D1091">
        <v>28.5</v>
      </c>
      <c r="E1091">
        <v>57</v>
      </c>
      <c r="F1091" s="1">
        <v>45700</v>
      </c>
      <c r="G1091" s="1">
        <v>45702</v>
      </c>
      <c r="H1091" t="s">
        <v>8</v>
      </c>
      <c r="I1091" t="s">
        <v>36</v>
      </c>
      <c r="J1091">
        <v>3</v>
      </c>
      <c r="K1091" t="s">
        <v>4</v>
      </c>
      <c r="L1091" t="s">
        <v>18</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1174</v>
      </c>
      <c r="B1092" t="s">
        <v>11</v>
      </c>
      <c r="C1092">
        <v>20</v>
      </c>
      <c r="D1092">
        <v>106.6</v>
      </c>
      <c r="E1092">
        <v>2132</v>
      </c>
      <c r="F1092" s="1">
        <v>45700</v>
      </c>
      <c r="G1092" s="1">
        <v>45701</v>
      </c>
      <c r="H1092" t="s">
        <v>2</v>
      </c>
      <c r="I1092" t="s">
        <v>20</v>
      </c>
      <c r="J1092">
        <v>2</v>
      </c>
      <c r="K1092" t="s">
        <v>4</v>
      </c>
      <c r="L1092" t="s">
        <v>18</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1175</v>
      </c>
      <c r="B1093" t="s">
        <v>11</v>
      </c>
      <c r="C1093">
        <v>3</v>
      </c>
      <c r="D1093">
        <v>119.7</v>
      </c>
      <c r="E1093">
        <v>359.1</v>
      </c>
      <c r="F1093" s="1">
        <v>45700</v>
      </c>
      <c r="G1093" s="1">
        <v>45701</v>
      </c>
      <c r="H1093" t="s">
        <v>12</v>
      </c>
      <c r="I1093" t="s">
        <v>20</v>
      </c>
      <c r="J1093">
        <v>2</v>
      </c>
      <c r="K1093" t="s">
        <v>4</v>
      </c>
      <c r="L1093" t="s">
        <v>18</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1176</v>
      </c>
      <c r="B1094" t="s">
        <v>131</v>
      </c>
      <c r="C1094">
        <v>1</v>
      </c>
      <c r="D1094">
        <v>73.3</v>
      </c>
      <c r="E1094">
        <v>73.3</v>
      </c>
      <c r="F1094" s="1">
        <v>45700</v>
      </c>
      <c r="G1094" s="1">
        <v>45705</v>
      </c>
      <c r="H1094" t="s">
        <v>12</v>
      </c>
      <c r="I1094" t="s">
        <v>3</v>
      </c>
      <c r="J1094">
        <v>5</v>
      </c>
      <c r="K1094" t="s">
        <v>4</v>
      </c>
      <c r="L1094" t="s">
        <v>18</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1177</v>
      </c>
      <c r="B1095" t="s">
        <v>1</v>
      </c>
      <c r="C1095">
        <v>2</v>
      </c>
      <c r="D1095">
        <v>25.8</v>
      </c>
      <c r="E1095">
        <v>51.6</v>
      </c>
      <c r="F1095" s="1">
        <v>45700</v>
      </c>
      <c r="G1095" s="1">
        <v>45714</v>
      </c>
      <c r="H1095" t="s">
        <v>8</v>
      </c>
      <c r="I1095" t="s">
        <v>25</v>
      </c>
      <c r="J1095">
        <v>4</v>
      </c>
      <c r="K1095" t="s">
        <v>4</v>
      </c>
      <c r="L1095" t="s">
        <v>18</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1178</v>
      </c>
      <c r="B1096" t="s">
        <v>120</v>
      </c>
      <c r="C1096">
        <v>3</v>
      </c>
      <c r="D1096">
        <v>49.1</v>
      </c>
      <c r="E1096">
        <v>147.30000000000001</v>
      </c>
      <c r="F1096" s="1">
        <v>45700</v>
      </c>
      <c r="G1096" s="1">
        <v>45702</v>
      </c>
      <c r="H1096" t="s">
        <v>12</v>
      </c>
      <c r="I1096" t="s">
        <v>3</v>
      </c>
      <c r="J1096">
        <v>4</v>
      </c>
      <c r="K1096" t="s">
        <v>4</v>
      </c>
      <c r="L1096" t="s">
        <v>171</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1179</v>
      </c>
      <c r="B1097" t="s">
        <v>7</v>
      </c>
      <c r="C1097">
        <v>1</v>
      </c>
      <c r="D1097">
        <v>44.9</v>
      </c>
      <c r="E1097">
        <v>44.9</v>
      </c>
      <c r="F1097" s="1">
        <v>45700</v>
      </c>
      <c r="G1097" s="1">
        <v>45703</v>
      </c>
      <c r="H1097" t="s">
        <v>12</v>
      </c>
      <c r="I1097" t="s">
        <v>36</v>
      </c>
      <c r="J1097">
        <v>5</v>
      </c>
      <c r="K1097" t="s">
        <v>4</v>
      </c>
      <c r="L1097" t="s">
        <v>40</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1180</v>
      </c>
      <c r="B1098" t="s">
        <v>108</v>
      </c>
      <c r="C1098">
        <v>7</v>
      </c>
      <c r="D1098">
        <v>29.9</v>
      </c>
      <c r="E1098">
        <v>209.29999999999998</v>
      </c>
      <c r="F1098" s="1">
        <v>45700</v>
      </c>
      <c r="G1098" s="1">
        <v>45701</v>
      </c>
      <c r="H1098" t="s">
        <v>12</v>
      </c>
      <c r="I1098" t="s">
        <v>3</v>
      </c>
      <c r="J1098">
        <v>4</v>
      </c>
      <c r="K1098" t="s">
        <v>4</v>
      </c>
      <c r="L1098" t="s">
        <v>40</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1181</v>
      </c>
      <c r="B1099" t="s">
        <v>27</v>
      </c>
      <c r="C1099">
        <v>2</v>
      </c>
      <c r="D1099">
        <v>54.3</v>
      </c>
      <c r="E1099">
        <v>108.6</v>
      </c>
      <c r="F1099" s="1">
        <v>45701</v>
      </c>
      <c r="G1099" s="1">
        <v>45702</v>
      </c>
      <c r="H1099" t="s">
        <v>8</v>
      </c>
      <c r="I1099" t="s">
        <v>36</v>
      </c>
      <c r="J1099">
        <v>4</v>
      </c>
      <c r="K1099" t="s">
        <v>4</v>
      </c>
      <c r="L1099" t="s">
        <v>327</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1182</v>
      </c>
      <c r="B1100" t="s">
        <v>31</v>
      </c>
      <c r="C1100">
        <v>4</v>
      </c>
      <c r="D1100">
        <v>57</v>
      </c>
      <c r="E1100">
        <v>228</v>
      </c>
      <c r="F1100" s="1">
        <v>45701</v>
      </c>
      <c r="G1100" s="1">
        <v>45703</v>
      </c>
      <c r="H1100" t="s">
        <v>12</v>
      </c>
      <c r="I1100" t="s">
        <v>3</v>
      </c>
      <c r="J1100">
        <v>4</v>
      </c>
      <c r="K1100" t="s">
        <v>4</v>
      </c>
      <c r="L1100" t="s">
        <v>47</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1183</v>
      </c>
      <c r="B1101" t="s">
        <v>11</v>
      </c>
      <c r="C1101">
        <v>1</v>
      </c>
      <c r="D1101">
        <v>139.19999999999999</v>
      </c>
      <c r="E1101">
        <v>139.19999999999999</v>
      </c>
      <c r="F1101" s="1">
        <v>45701</v>
      </c>
      <c r="G1101" s="1">
        <v>45702</v>
      </c>
      <c r="H1101" t="s">
        <v>12</v>
      </c>
      <c r="I1101" t="s">
        <v>36</v>
      </c>
      <c r="J1101">
        <v>5</v>
      </c>
      <c r="K1101" t="s">
        <v>4</v>
      </c>
      <c r="L1101" t="s">
        <v>47</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1184</v>
      </c>
      <c r="B1102" t="s">
        <v>39</v>
      </c>
      <c r="C1102">
        <v>1</v>
      </c>
      <c r="D1102">
        <v>33</v>
      </c>
      <c r="E1102">
        <v>33</v>
      </c>
      <c r="F1102" s="1">
        <v>45701</v>
      </c>
      <c r="G1102" s="1">
        <v>45704</v>
      </c>
      <c r="H1102" t="s">
        <v>12</v>
      </c>
      <c r="I1102" t="s">
        <v>3</v>
      </c>
      <c r="J1102">
        <v>5</v>
      </c>
      <c r="K1102" t="s">
        <v>4</v>
      </c>
      <c r="L1102" t="s">
        <v>47</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1185</v>
      </c>
      <c r="B1103" t="s">
        <v>52</v>
      </c>
      <c r="C1103">
        <v>6</v>
      </c>
      <c r="D1103">
        <v>80.2</v>
      </c>
      <c r="E1103">
        <v>481.20000000000005</v>
      </c>
      <c r="F1103" s="1">
        <v>45701</v>
      </c>
      <c r="G1103" s="1">
        <v>45703</v>
      </c>
      <c r="H1103" t="s">
        <v>8</v>
      </c>
      <c r="I1103" t="s">
        <v>20</v>
      </c>
      <c r="J1103">
        <v>2</v>
      </c>
      <c r="K1103" t="s">
        <v>4</v>
      </c>
      <c r="L1103" t="s">
        <v>47</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1186</v>
      </c>
      <c r="B1104" t="s">
        <v>131</v>
      </c>
      <c r="C1104">
        <v>8</v>
      </c>
      <c r="D1104">
        <v>49</v>
      </c>
      <c r="E1104">
        <v>392</v>
      </c>
      <c r="F1104" s="1">
        <v>45701</v>
      </c>
      <c r="G1104" s="1">
        <v>45702</v>
      </c>
      <c r="H1104" t="s">
        <v>2</v>
      </c>
      <c r="I1104" t="s">
        <v>25</v>
      </c>
      <c r="J1104">
        <v>3</v>
      </c>
      <c r="K1104" t="s">
        <v>4</v>
      </c>
      <c r="L1104" t="s">
        <v>57</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1187</v>
      </c>
      <c r="B1105" t="s">
        <v>7</v>
      </c>
      <c r="C1105">
        <v>4</v>
      </c>
      <c r="D1105">
        <v>104.4</v>
      </c>
      <c r="E1105">
        <v>417.6</v>
      </c>
      <c r="F1105" s="1">
        <v>45701</v>
      </c>
      <c r="G1105" s="1">
        <v>45701</v>
      </c>
      <c r="H1105" t="s">
        <v>12</v>
      </c>
      <c r="I1105" t="s">
        <v>3</v>
      </c>
      <c r="J1105">
        <v>4</v>
      </c>
      <c r="K1105" t="s">
        <v>4</v>
      </c>
      <c r="L1105" t="s">
        <v>57</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1188</v>
      </c>
      <c r="B1106" t="s">
        <v>15</v>
      </c>
      <c r="C1106">
        <v>1</v>
      </c>
      <c r="D1106">
        <v>41.6</v>
      </c>
      <c r="E1106">
        <v>41.6</v>
      </c>
      <c r="F1106" s="1">
        <v>45701</v>
      </c>
      <c r="G1106" s="1">
        <v>45704</v>
      </c>
      <c r="H1106" t="s">
        <v>8</v>
      </c>
      <c r="I1106" t="s">
        <v>36</v>
      </c>
      <c r="J1106">
        <v>4</v>
      </c>
      <c r="K1106" t="s">
        <v>4</v>
      </c>
      <c r="L1106" t="s">
        <v>62</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1189</v>
      </c>
      <c r="B1107" t="s">
        <v>156</v>
      </c>
      <c r="C1107">
        <v>2</v>
      </c>
      <c r="D1107">
        <v>16.399999999999999</v>
      </c>
      <c r="E1107">
        <v>32.799999999999997</v>
      </c>
      <c r="F1107" s="1">
        <v>45701</v>
      </c>
      <c r="G1107" s="1">
        <v>45702</v>
      </c>
      <c r="H1107" t="s">
        <v>74</v>
      </c>
      <c r="I1107" t="s">
        <v>3</v>
      </c>
      <c r="J1107">
        <v>5</v>
      </c>
      <c r="K1107" t="s">
        <v>4</v>
      </c>
      <c r="L1107" t="s">
        <v>62</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1190</v>
      </c>
      <c r="B1108" t="s">
        <v>29</v>
      </c>
      <c r="C1108">
        <v>2</v>
      </c>
      <c r="D1108">
        <v>22</v>
      </c>
      <c r="E1108">
        <v>44</v>
      </c>
      <c r="F1108" s="1">
        <v>45701</v>
      </c>
      <c r="G1108" s="1">
        <v>45702</v>
      </c>
      <c r="H1108" t="s">
        <v>8</v>
      </c>
      <c r="I1108" t="s">
        <v>25</v>
      </c>
      <c r="J1108">
        <v>5</v>
      </c>
      <c r="K1108" t="s">
        <v>4</v>
      </c>
      <c r="L1108" t="s">
        <v>1101</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1191</v>
      </c>
      <c r="B1109" t="s">
        <v>108</v>
      </c>
      <c r="C1109">
        <v>2</v>
      </c>
      <c r="D1109">
        <v>33.6</v>
      </c>
      <c r="E1109">
        <v>67.2</v>
      </c>
      <c r="F1109" s="1">
        <v>45701</v>
      </c>
      <c r="G1109" s="1">
        <v>45706</v>
      </c>
      <c r="H1109" t="s">
        <v>12</v>
      </c>
      <c r="I1109" t="s">
        <v>3</v>
      </c>
      <c r="J1109">
        <v>4</v>
      </c>
      <c r="K1109" t="s">
        <v>4</v>
      </c>
      <c r="L1109" t="s">
        <v>100</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1192</v>
      </c>
      <c r="B1110" t="s">
        <v>52</v>
      </c>
      <c r="C1110">
        <v>6</v>
      </c>
      <c r="D1110">
        <v>43</v>
      </c>
      <c r="E1110">
        <v>258</v>
      </c>
      <c r="F1110" s="1">
        <v>45701</v>
      </c>
      <c r="G1110" s="1">
        <v>45702</v>
      </c>
      <c r="H1110" t="s">
        <v>12</v>
      </c>
      <c r="I1110" t="s">
        <v>25</v>
      </c>
      <c r="J1110">
        <v>4</v>
      </c>
      <c r="K1110" t="s">
        <v>4</v>
      </c>
      <c r="L1110" t="s">
        <v>100</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1193</v>
      </c>
      <c r="B1111" t="s">
        <v>24</v>
      </c>
      <c r="C1111">
        <v>5</v>
      </c>
      <c r="D1111">
        <v>108.8</v>
      </c>
      <c r="E1111">
        <v>544</v>
      </c>
      <c r="F1111" s="1">
        <v>45701</v>
      </c>
      <c r="G1111" s="1">
        <v>45704</v>
      </c>
      <c r="H1111" t="s">
        <v>12</v>
      </c>
      <c r="I1111" t="s">
        <v>55</v>
      </c>
      <c r="J1111">
        <v>5</v>
      </c>
      <c r="K1111" t="s">
        <v>4</v>
      </c>
      <c r="L1111" t="s">
        <v>100</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1194</v>
      </c>
      <c r="B1112" t="s">
        <v>1</v>
      </c>
      <c r="C1112">
        <v>9</v>
      </c>
      <c r="D1112">
        <v>29.3</v>
      </c>
      <c r="E1112">
        <v>263.7</v>
      </c>
      <c r="F1112" s="1">
        <v>45701</v>
      </c>
      <c r="G1112" s="1">
        <v>45703</v>
      </c>
      <c r="H1112" t="s">
        <v>8</v>
      </c>
      <c r="I1112" t="s">
        <v>55</v>
      </c>
      <c r="J1112">
        <v>5</v>
      </c>
      <c r="K1112" t="s">
        <v>4</v>
      </c>
      <c r="L1112" t="s">
        <v>100</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1195</v>
      </c>
      <c r="B1113" t="s">
        <v>11</v>
      </c>
      <c r="C1113">
        <v>1</v>
      </c>
      <c r="D1113">
        <v>122.7</v>
      </c>
      <c r="E1113">
        <v>122.7</v>
      </c>
      <c r="F1113" s="1">
        <v>45701</v>
      </c>
      <c r="G1113" s="1">
        <v>45704</v>
      </c>
      <c r="H1113" t="s">
        <v>74</v>
      </c>
      <c r="I1113" t="s">
        <v>3</v>
      </c>
      <c r="J1113">
        <v>5</v>
      </c>
      <c r="K1113" t="s">
        <v>4</v>
      </c>
      <c r="L1113" t="s">
        <v>9</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1196</v>
      </c>
      <c r="B1114" t="s">
        <v>17</v>
      </c>
      <c r="C1114">
        <v>7</v>
      </c>
      <c r="D1114">
        <v>22.9</v>
      </c>
      <c r="E1114">
        <v>160.29999999999998</v>
      </c>
      <c r="F1114" s="1">
        <v>45701</v>
      </c>
      <c r="G1114" s="1">
        <v>45702</v>
      </c>
      <c r="H1114" t="s">
        <v>12</v>
      </c>
      <c r="I1114" t="s">
        <v>3</v>
      </c>
      <c r="J1114">
        <v>4</v>
      </c>
      <c r="K1114" t="s">
        <v>4</v>
      </c>
      <c r="L1114" t="s">
        <v>422</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1197</v>
      </c>
      <c r="B1115" t="s">
        <v>29</v>
      </c>
      <c r="C1115">
        <v>10</v>
      </c>
      <c r="D1115">
        <v>25.5</v>
      </c>
      <c r="E1115">
        <v>255</v>
      </c>
      <c r="F1115" s="1">
        <v>45701</v>
      </c>
      <c r="G1115" s="1">
        <v>45708</v>
      </c>
      <c r="H1115" t="s">
        <v>12</v>
      </c>
      <c r="I1115" t="s">
        <v>3</v>
      </c>
      <c r="J1115">
        <v>4</v>
      </c>
      <c r="K1115" t="s">
        <v>4</v>
      </c>
      <c r="L1115" t="s">
        <v>316</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1198</v>
      </c>
      <c r="B1116" t="s">
        <v>120</v>
      </c>
      <c r="C1116">
        <v>3</v>
      </c>
      <c r="D1116">
        <v>23.4</v>
      </c>
      <c r="E1116">
        <v>70.199999999999989</v>
      </c>
      <c r="F1116" s="1">
        <v>45701</v>
      </c>
      <c r="G1116" s="1">
        <v>45705</v>
      </c>
      <c r="H1116" t="s">
        <v>12</v>
      </c>
      <c r="I1116" t="s">
        <v>3</v>
      </c>
      <c r="J1116">
        <v>5</v>
      </c>
      <c r="K1116" t="s">
        <v>4</v>
      </c>
      <c r="L1116" t="s">
        <v>18</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1199</v>
      </c>
      <c r="B1117" t="s">
        <v>22</v>
      </c>
      <c r="C1117">
        <v>8</v>
      </c>
      <c r="D1117">
        <v>27.4</v>
      </c>
      <c r="E1117">
        <v>219.2</v>
      </c>
      <c r="F1117" s="1">
        <v>45701</v>
      </c>
      <c r="G1117" s="1">
        <v>45704</v>
      </c>
      <c r="H1117" t="s">
        <v>12</v>
      </c>
      <c r="I1117" t="s">
        <v>25</v>
      </c>
      <c r="J1117">
        <v>4</v>
      </c>
      <c r="K1117" t="s">
        <v>4</v>
      </c>
      <c r="L1117" t="s">
        <v>18</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1200</v>
      </c>
      <c r="B1118" t="s">
        <v>22</v>
      </c>
      <c r="C1118">
        <v>5</v>
      </c>
      <c r="D1118">
        <v>68.400000000000006</v>
      </c>
      <c r="E1118">
        <v>342</v>
      </c>
      <c r="F1118" s="1">
        <v>45701</v>
      </c>
      <c r="G1118" s="1">
        <v>45702</v>
      </c>
      <c r="H1118" t="s">
        <v>12</v>
      </c>
      <c r="I1118" t="s">
        <v>3</v>
      </c>
      <c r="J1118">
        <v>4</v>
      </c>
      <c r="K1118" t="s">
        <v>4</v>
      </c>
      <c r="L1118" t="s">
        <v>18</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1201</v>
      </c>
      <c r="B1119" t="s">
        <v>24</v>
      </c>
      <c r="C1119">
        <v>1</v>
      </c>
      <c r="D1119">
        <v>51.9</v>
      </c>
      <c r="E1119">
        <v>51.9</v>
      </c>
      <c r="F1119" s="1">
        <v>45701</v>
      </c>
      <c r="G1119" s="1">
        <v>45701</v>
      </c>
      <c r="H1119" t="s">
        <v>12</v>
      </c>
      <c r="I1119" t="s">
        <v>3</v>
      </c>
      <c r="J1119">
        <v>4</v>
      </c>
      <c r="K1119" t="s">
        <v>4</v>
      </c>
      <c r="L1119" t="s">
        <v>18</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1202</v>
      </c>
      <c r="B1120" t="s">
        <v>1</v>
      </c>
      <c r="C1120">
        <v>5</v>
      </c>
      <c r="D1120">
        <v>26.4</v>
      </c>
      <c r="E1120">
        <v>132</v>
      </c>
      <c r="F1120" s="1">
        <v>45701</v>
      </c>
      <c r="G1120" s="1">
        <v>45704</v>
      </c>
      <c r="H1120" t="s">
        <v>12</v>
      </c>
      <c r="I1120" t="s">
        <v>3</v>
      </c>
      <c r="J1120">
        <v>5</v>
      </c>
      <c r="K1120" t="s">
        <v>4</v>
      </c>
      <c r="L1120" t="s">
        <v>18</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1203</v>
      </c>
      <c r="B1121" t="s">
        <v>54</v>
      </c>
      <c r="C1121">
        <v>2</v>
      </c>
      <c r="D1121">
        <v>117</v>
      </c>
      <c r="E1121">
        <v>234</v>
      </c>
      <c r="F1121" s="1">
        <v>45701</v>
      </c>
      <c r="G1121" s="1">
        <v>45702</v>
      </c>
      <c r="H1121" t="s">
        <v>12</v>
      </c>
      <c r="I1121" t="s">
        <v>20</v>
      </c>
      <c r="J1121">
        <v>3</v>
      </c>
      <c r="K1121" t="s">
        <v>4</v>
      </c>
      <c r="L1121" t="s">
        <v>18</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1204</v>
      </c>
      <c r="B1122" t="s">
        <v>27</v>
      </c>
      <c r="C1122">
        <v>3</v>
      </c>
      <c r="D1122">
        <v>49.6</v>
      </c>
      <c r="E1122">
        <v>148.80000000000001</v>
      </c>
      <c r="F1122" s="1">
        <v>45702</v>
      </c>
      <c r="G1122" s="1">
        <v>45704</v>
      </c>
      <c r="H1122" t="s">
        <v>12</v>
      </c>
      <c r="I1122" t="s">
        <v>3</v>
      </c>
      <c r="J1122">
        <v>4</v>
      </c>
      <c r="K1122" t="s">
        <v>4</v>
      </c>
      <c r="L1122" t="s">
        <v>18</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1205</v>
      </c>
      <c r="B1123" t="s">
        <v>17</v>
      </c>
      <c r="C1123">
        <v>3</v>
      </c>
      <c r="D1123">
        <v>38</v>
      </c>
      <c r="E1123">
        <v>114</v>
      </c>
      <c r="F1123" s="1">
        <v>45702</v>
      </c>
      <c r="G1123" s="1">
        <v>45705</v>
      </c>
      <c r="H1123" t="s">
        <v>8</v>
      </c>
      <c r="I1123" t="s">
        <v>25</v>
      </c>
      <c r="J1123">
        <v>2</v>
      </c>
      <c r="K1123" t="s">
        <v>4</v>
      </c>
      <c r="L1123" t="s">
        <v>18</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1206</v>
      </c>
      <c r="B1124" t="s">
        <v>1</v>
      </c>
      <c r="C1124">
        <v>3</v>
      </c>
      <c r="D1124">
        <v>20.6</v>
      </c>
      <c r="E1124">
        <v>61.800000000000004</v>
      </c>
      <c r="F1124" s="1">
        <v>45702</v>
      </c>
      <c r="G1124" s="1">
        <v>45704</v>
      </c>
      <c r="H1124" t="s">
        <v>12</v>
      </c>
      <c r="I1124" t="s">
        <v>55</v>
      </c>
      <c r="J1124">
        <v>5</v>
      </c>
      <c r="K1124" t="s">
        <v>4</v>
      </c>
      <c r="L1124" t="s">
        <v>18</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1207</v>
      </c>
      <c r="B1125" t="s">
        <v>1</v>
      </c>
      <c r="C1125">
        <v>2</v>
      </c>
      <c r="D1125">
        <v>16</v>
      </c>
      <c r="E1125">
        <v>32</v>
      </c>
      <c r="F1125" s="1">
        <v>45702</v>
      </c>
      <c r="G1125" s="1">
        <v>45703</v>
      </c>
      <c r="H1125" t="s">
        <v>8</v>
      </c>
      <c r="I1125" t="s">
        <v>20</v>
      </c>
      <c r="J1125">
        <v>3</v>
      </c>
      <c r="K1125" t="s">
        <v>4</v>
      </c>
      <c r="L1125" t="s">
        <v>787</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1208</v>
      </c>
      <c r="B1126" t="s">
        <v>108</v>
      </c>
      <c r="C1126">
        <v>4</v>
      </c>
      <c r="D1126">
        <v>49.3</v>
      </c>
      <c r="E1126">
        <v>197.2</v>
      </c>
      <c r="F1126" s="1">
        <v>45702</v>
      </c>
      <c r="G1126" s="1">
        <v>45703</v>
      </c>
      <c r="H1126" t="s">
        <v>12</v>
      </c>
      <c r="I1126" t="s">
        <v>25</v>
      </c>
      <c r="J1126">
        <v>4</v>
      </c>
      <c r="K1126" t="s">
        <v>4</v>
      </c>
      <c r="L1126" t="s">
        <v>143</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1209</v>
      </c>
      <c r="B1127" t="s">
        <v>31</v>
      </c>
      <c r="C1127">
        <v>2</v>
      </c>
      <c r="D1127">
        <v>24.1</v>
      </c>
      <c r="E1127">
        <v>48.2</v>
      </c>
      <c r="F1127" s="1">
        <v>45702</v>
      </c>
      <c r="G1127" s="1">
        <v>45706</v>
      </c>
      <c r="H1127" t="s">
        <v>12</v>
      </c>
      <c r="I1127" t="s">
        <v>3</v>
      </c>
      <c r="J1127">
        <v>4</v>
      </c>
      <c r="K1127" t="s">
        <v>4</v>
      </c>
      <c r="L1127" t="s">
        <v>40</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1210</v>
      </c>
      <c r="B1128" t="s">
        <v>108</v>
      </c>
      <c r="C1128">
        <v>8</v>
      </c>
      <c r="D1128">
        <v>32.700000000000003</v>
      </c>
      <c r="E1128">
        <v>261.60000000000002</v>
      </c>
      <c r="F1128" s="1">
        <v>45702</v>
      </c>
      <c r="G1128" s="1">
        <v>45703</v>
      </c>
      <c r="H1128" t="s">
        <v>12</v>
      </c>
      <c r="I1128" t="s">
        <v>20</v>
      </c>
      <c r="J1128">
        <v>4</v>
      </c>
      <c r="K1128" t="s">
        <v>4</v>
      </c>
      <c r="L1128" t="s">
        <v>40</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1211</v>
      </c>
      <c r="B1129" t="s">
        <v>24</v>
      </c>
      <c r="C1129">
        <v>3</v>
      </c>
      <c r="D1129">
        <v>74.400000000000006</v>
      </c>
      <c r="E1129">
        <v>223.20000000000002</v>
      </c>
      <c r="F1129" s="1">
        <v>45702</v>
      </c>
      <c r="G1129" s="1">
        <v>45703</v>
      </c>
      <c r="H1129" t="s">
        <v>12</v>
      </c>
      <c r="I1129" t="s">
        <v>36</v>
      </c>
      <c r="J1129">
        <v>5</v>
      </c>
      <c r="K1129" t="s">
        <v>4</v>
      </c>
      <c r="L1129" t="s">
        <v>47</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1212</v>
      </c>
      <c r="B1130" t="s">
        <v>54</v>
      </c>
      <c r="C1130">
        <v>1</v>
      </c>
      <c r="D1130">
        <v>45.6</v>
      </c>
      <c r="E1130">
        <v>45.6</v>
      </c>
      <c r="F1130" s="1">
        <v>45702</v>
      </c>
      <c r="G1130" s="1">
        <v>45706</v>
      </c>
      <c r="H1130" t="s">
        <v>12</v>
      </c>
      <c r="I1130" t="s">
        <v>55</v>
      </c>
      <c r="J1130">
        <v>4</v>
      </c>
      <c r="K1130" t="s">
        <v>4</v>
      </c>
      <c r="L1130" t="s">
        <v>47</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1213</v>
      </c>
      <c r="B1131" t="s">
        <v>29</v>
      </c>
      <c r="C1131">
        <v>8</v>
      </c>
      <c r="D1131">
        <v>19.600000000000001</v>
      </c>
      <c r="E1131">
        <v>156.80000000000001</v>
      </c>
      <c r="F1131" s="1">
        <v>45702</v>
      </c>
      <c r="G1131" s="1">
        <v>45715</v>
      </c>
      <c r="H1131" t="s">
        <v>12</v>
      </c>
      <c r="I1131" t="s">
        <v>3</v>
      </c>
      <c r="J1131">
        <v>4</v>
      </c>
      <c r="K1131" t="s">
        <v>4</v>
      </c>
      <c r="L1131" t="s">
        <v>47</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1214</v>
      </c>
      <c r="B1132" t="s">
        <v>31</v>
      </c>
      <c r="C1132">
        <v>1</v>
      </c>
      <c r="D1132">
        <v>51.8</v>
      </c>
      <c r="E1132">
        <v>51.8</v>
      </c>
      <c r="F1132" s="1">
        <v>45702</v>
      </c>
      <c r="G1132" s="1">
        <v>45703</v>
      </c>
      <c r="H1132" t="s">
        <v>12</v>
      </c>
      <c r="I1132" t="s">
        <v>20</v>
      </c>
      <c r="J1132">
        <v>4</v>
      </c>
      <c r="K1132" t="s">
        <v>4</v>
      </c>
      <c r="L1132" t="s">
        <v>47</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1215</v>
      </c>
      <c r="B1133" t="s">
        <v>24</v>
      </c>
      <c r="C1133">
        <v>1</v>
      </c>
      <c r="D1133">
        <v>74.7</v>
      </c>
      <c r="E1133">
        <v>74.7</v>
      </c>
      <c r="F1133" s="1">
        <v>45702</v>
      </c>
      <c r="G1133" s="1">
        <v>45703</v>
      </c>
      <c r="H1133" t="s">
        <v>8</v>
      </c>
      <c r="I1133" t="s">
        <v>3</v>
      </c>
      <c r="J1133">
        <v>3</v>
      </c>
      <c r="K1133" t="s">
        <v>4</v>
      </c>
      <c r="L1133" t="s">
        <v>47</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1216</v>
      </c>
      <c r="B1134" t="s">
        <v>156</v>
      </c>
      <c r="C1134">
        <v>3</v>
      </c>
      <c r="D1134">
        <v>22.4</v>
      </c>
      <c r="E1134">
        <v>67.199999999999989</v>
      </c>
      <c r="F1134" s="1">
        <v>45702</v>
      </c>
      <c r="G1134" s="1">
        <v>45703</v>
      </c>
      <c r="H1134" t="s">
        <v>12</v>
      </c>
      <c r="I1134" t="s">
        <v>20</v>
      </c>
      <c r="J1134">
        <v>5</v>
      </c>
      <c r="K1134" t="s">
        <v>4</v>
      </c>
      <c r="L1134" t="s">
        <v>57</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1217</v>
      </c>
      <c r="B1135" t="s">
        <v>7</v>
      </c>
      <c r="C1135">
        <v>4</v>
      </c>
      <c r="D1135">
        <v>31.4</v>
      </c>
      <c r="E1135">
        <v>125.6</v>
      </c>
      <c r="F1135" s="1">
        <v>45702</v>
      </c>
      <c r="G1135" s="1">
        <v>45703</v>
      </c>
      <c r="H1135" t="s">
        <v>12</v>
      </c>
      <c r="I1135" t="s">
        <v>20</v>
      </c>
      <c r="J1135">
        <v>4</v>
      </c>
      <c r="K1135" t="s">
        <v>4</v>
      </c>
      <c r="L1135" t="s">
        <v>57</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1218</v>
      </c>
      <c r="B1136" t="s">
        <v>24</v>
      </c>
      <c r="C1136">
        <v>1</v>
      </c>
      <c r="D1136">
        <v>94</v>
      </c>
      <c r="E1136">
        <v>94</v>
      </c>
      <c r="F1136" s="1">
        <v>45702</v>
      </c>
      <c r="G1136" s="1">
        <v>45702</v>
      </c>
      <c r="H1136" t="s">
        <v>12</v>
      </c>
      <c r="I1136" t="s">
        <v>20</v>
      </c>
      <c r="J1136">
        <v>5</v>
      </c>
      <c r="K1136" t="s">
        <v>4</v>
      </c>
      <c r="L1136" t="s">
        <v>59</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1219</v>
      </c>
      <c r="B1137" t="s">
        <v>39</v>
      </c>
      <c r="C1137">
        <v>1</v>
      </c>
      <c r="D1137">
        <v>22.3</v>
      </c>
      <c r="E1137">
        <v>22.3</v>
      </c>
      <c r="F1137" s="1">
        <v>45702</v>
      </c>
      <c r="G1137" s="1">
        <v>45703</v>
      </c>
      <c r="H1137" t="s">
        <v>8</v>
      </c>
      <c r="I1137" t="s">
        <v>55</v>
      </c>
      <c r="J1137">
        <v>4</v>
      </c>
      <c r="K1137" t="s">
        <v>4</v>
      </c>
      <c r="L1137" t="s">
        <v>98</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1220</v>
      </c>
      <c r="B1138" t="s">
        <v>1</v>
      </c>
      <c r="C1138">
        <v>1</v>
      </c>
      <c r="D1138">
        <v>21.9</v>
      </c>
      <c r="E1138">
        <v>21.9</v>
      </c>
      <c r="F1138" s="1">
        <v>45702</v>
      </c>
      <c r="G1138" s="1">
        <v>45705</v>
      </c>
      <c r="H1138" t="s">
        <v>12</v>
      </c>
      <c r="I1138" t="s">
        <v>25</v>
      </c>
      <c r="J1138">
        <v>4</v>
      </c>
      <c r="K1138" t="s">
        <v>4</v>
      </c>
      <c r="L1138" t="s">
        <v>100</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1221</v>
      </c>
      <c r="B1139" t="s">
        <v>120</v>
      </c>
      <c r="C1139">
        <v>3</v>
      </c>
      <c r="D1139">
        <v>27</v>
      </c>
      <c r="E1139">
        <v>81</v>
      </c>
      <c r="F1139" s="1">
        <v>45702</v>
      </c>
      <c r="G1139" s="1">
        <v>45704</v>
      </c>
      <c r="H1139" t="s">
        <v>12</v>
      </c>
      <c r="I1139" t="s">
        <v>55</v>
      </c>
      <c r="J1139">
        <v>5</v>
      </c>
      <c r="K1139" t="s">
        <v>4</v>
      </c>
      <c r="L1139" t="s">
        <v>13</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1222</v>
      </c>
      <c r="B1140" t="s">
        <v>11</v>
      </c>
      <c r="C1140">
        <v>4</v>
      </c>
      <c r="D1140">
        <v>149.6</v>
      </c>
      <c r="E1140">
        <v>598.4</v>
      </c>
      <c r="F1140" s="1">
        <v>45702</v>
      </c>
      <c r="G1140" s="1">
        <v>45702</v>
      </c>
      <c r="H1140" t="s">
        <v>12</v>
      </c>
      <c r="I1140" t="s">
        <v>55</v>
      </c>
      <c r="J1140">
        <v>4</v>
      </c>
      <c r="K1140" t="s">
        <v>4</v>
      </c>
      <c r="L1140" t="s">
        <v>132</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1223</v>
      </c>
      <c r="B1141" t="s">
        <v>11</v>
      </c>
      <c r="C1141">
        <v>4</v>
      </c>
      <c r="D1141">
        <v>129.1</v>
      </c>
      <c r="E1141">
        <v>516.4</v>
      </c>
      <c r="F1141" s="1">
        <v>45702</v>
      </c>
      <c r="G1141" s="1">
        <v>45712</v>
      </c>
      <c r="H1141" t="s">
        <v>8</v>
      </c>
      <c r="I1141" t="s">
        <v>3</v>
      </c>
      <c r="J1141">
        <v>3</v>
      </c>
      <c r="K1141" t="s">
        <v>4</v>
      </c>
      <c r="L1141" t="s">
        <v>18</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1224</v>
      </c>
      <c r="B1142" t="s">
        <v>7</v>
      </c>
      <c r="C1142">
        <v>12</v>
      </c>
      <c r="D1142">
        <v>40.4</v>
      </c>
      <c r="E1142">
        <v>484.79999999999995</v>
      </c>
      <c r="F1142" s="1">
        <v>45702</v>
      </c>
      <c r="G1142" s="1">
        <v>45703</v>
      </c>
      <c r="H1142" t="s">
        <v>8</v>
      </c>
      <c r="I1142" t="s">
        <v>20</v>
      </c>
      <c r="J1142">
        <v>3</v>
      </c>
      <c r="K1142" t="s">
        <v>4</v>
      </c>
      <c r="L1142" t="s">
        <v>18</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1225</v>
      </c>
      <c r="B1143" t="s">
        <v>17</v>
      </c>
      <c r="C1143">
        <v>3</v>
      </c>
      <c r="D1143">
        <v>48.5</v>
      </c>
      <c r="E1143">
        <v>145.5</v>
      </c>
      <c r="F1143" s="1">
        <v>45702</v>
      </c>
      <c r="G1143" s="1">
        <v>45704</v>
      </c>
      <c r="H1143" t="s">
        <v>12</v>
      </c>
      <c r="I1143" t="s">
        <v>3</v>
      </c>
      <c r="J1143">
        <v>2</v>
      </c>
      <c r="K1143" t="s">
        <v>4</v>
      </c>
      <c r="L1143" t="s">
        <v>18</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1226</v>
      </c>
      <c r="B1144" t="s">
        <v>31</v>
      </c>
      <c r="C1144">
        <v>2</v>
      </c>
      <c r="D1144">
        <v>37.6</v>
      </c>
      <c r="E1144">
        <v>75.2</v>
      </c>
      <c r="F1144" s="1">
        <v>45702</v>
      </c>
      <c r="G1144" s="1">
        <v>45704</v>
      </c>
      <c r="H1144" t="s">
        <v>12</v>
      </c>
      <c r="I1144" t="s">
        <v>20</v>
      </c>
      <c r="J1144">
        <v>5</v>
      </c>
      <c r="K1144" t="s">
        <v>4</v>
      </c>
      <c r="L1144" t="s">
        <v>18</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1227</v>
      </c>
      <c r="B1145" t="s">
        <v>29</v>
      </c>
      <c r="C1145">
        <v>2</v>
      </c>
      <c r="D1145">
        <v>19.600000000000001</v>
      </c>
      <c r="E1145">
        <v>39.200000000000003</v>
      </c>
      <c r="F1145" s="1">
        <v>45702</v>
      </c>
      <c r="G1145" s="1">
        <v>45703</v>
      </c>
      <c r="H1145" t="s">
        <v>8</v>
      </c>
      <c r="I1145" t="s">
        <v>36</v>
      </c>
      <c r="J1145">
        <v>2</v>
      </c>
      <c r="K1145" t="s">
        <v>4</v>
      </c>
      <c r="L1145" t="s">
        <v>530</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1228</v>
      </c>
      <c r="B1146" t="s">
        <v>29</v>
      </c>
      <c r="C1146">
        <v>5</v>
      </c>
      <c r="D1146">
        <v>18.5</v>
      </c>
      <c r="E1146">
        <v>92.5</v>
      </c>
      <c r="F1146" s="1">
        <v>45702</v>
      </c>
      <c r="G1146" s="1">
        <v>45703</v>
      </c>
      <c r="H1146" t="s">
        <v>12</v>
      </c>
      <c r="I1146" t="s">
        <v>25</v>
      </c>
      <c r="J1146">
        <v>3</v>
      </c>
      <c r="K1146" t="s">
        <v>4</v>
      </c>
      <c r="L1146" t="s">
        <v>40</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1229</v>
      </c>
      <c r="B1147" t="s">
        <v>22</v>
      </c>
      <c r="C1147">
        <v>3</v>
      </c>
      <c r="D1147">
        <v>25.5</v>
      </c>
      <c r="E1147">
        <v>76.5</v>
      </c>
      <c r="F1147" s="1">
        <v>45702</v>
      </c>
      <c r="G1147" s="1">
        <v>45704</v>
      </c>
      <c r="H1147" t="s">
        <v>12</v>
      </c>
      <c r="I1147" t="s">
        <v>55</v>
      </c>
      <c r="J1147">
        <v>3</v>
      </c>
      <c r="K1147" t="s">
        <v>4</v>
      </c>
      <c r="L1147" t="s">
        <v>40</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1230</v>
      </c>
      <c r="B1148" t="s">
        <v>11</v>
      </c>
      <c r="C1148">
        <v>2</v>
      </c>
      <c r="D1148">
        <v>94.7</v>
      </c>
      <c r="E1148">
        <v>189.4</v>
      </c>
      <c r="F1148" s="1">
        <v>45702</v>
      </c>
      <c r="G1148" s="1">
        <v>45703</v>
      </c>
      <c r="H1148" t="s">
        <v>12</v>
      </c>
      <c r="I1148" t="s">
        <v>25</v>
      </c>
      <c r="J1148">
        <v>4</v>
      </c>
      <c r="K1148" t="s">
        <v>4</v>
      </c>
      <c r="L1148" t="s">
        <v>327</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1231</v>
      </c>
      <c r="B1149" t="s">
        <v>7</v>
      </c>
      <c r="C1149">
        <v>6</v>
      </c>
      <c r="D1149">
        <v>38.799999999999997</v>
      </c>
      <c r="E1149">
        <v>232.79999999999998</v>
      </c>
      <c r="F1149" s="1">
        <v>45702</v>
      </c>
      <c r="G1149" s="1">
        <v>45707</v>
      </c>
      <c r="H1149" t="s">
        <v>12</v>
      </c>
      <c r="I1149" t="s">
        <v>25</v>
      </c>
      <c r="J1149">
        <v>5</v>
      </c>
      <c r="K1149" t="s">
        <v>4</v>
      </c>
      <c r="L1149" t="s">
        <v>47</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1232</v>
      </c>
      <c r="B1150" t="s">
        <v>31</v>
      </c>
      <c r="C1150">
        <v>2</v>
      </c>
      <c r="D1150">
        <v>49.4</v>
      </c>
      <c r="E1150">
        <v>98.8</v>
      </c>
      <c r="F1150" s="1">
        <v>45703</v>
      </c>
      <c r="G1150" s="1">
        <v>45711</v>
      </c>
      <c r="H1150" t="s">
        <v>8</v>
      </c>
      <c r="I1150" t="s">
        <v>55</v>
      </c>
      <c r="J1150">
        <v>3</v>
      </c>
      <c r="K1150" t="s">
        <v>4</v>
      </c>
      <c r="L1150" t="s">
        <v>47</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1233</v>
      </c>
      <c r="B1151" t="s">
        <v>27</v>
      </c>
      <c r="C1151">
        <v>3</v>
      </c>
      <c r="D1151">
        <v>68</v>
      </c>
      <c r="E1151">
        <v>204</v>
      </c>
      <c r="F1151" s="1">
        <v>45703</v>
      </c>
      <c r="G1151" s="1">
        <v>45706</v>
      </c>
      <c r="H1151" t="s">
        <v>8</v>
      </c>
      <c r="I1151" t="s">
        <v>3</v>
      </c>
      <c r="J1151">
        <v>5</v>
      </c>
      <c r="K1151" t="s">
        <v>4</v>
      </c>
      <c r="L1151" t="s">
        <v>47</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1234</v>
      </c>
      <c r="B1152" t="s">
        <v>108</v>
      </c>
      <c r="C1152">
        <v>7</v>
      </c>
      <c r="D1152">
        <v>63.7</v>
      </c>
      <c r="E1152">
        <v>445.90000000000003</v>
      </c>
      <c r="F1152" s="1">
        <v>45703</v>
      </c>
      <c r="G1152" s="1">
        <v>45704</v>
      </c>
      <c r="H1152" t="s">
        <v>12</v>
      </c>
      <c r="I1152" t="s">
        <v>25</v>
      </c>
      <c r="J1152">
        <v>5</v>
      </c>
      <c r="K1152" t="s">
        <v>4</v>
      </c>
      <c r="L1152" t="s">
        <v>47</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1235</v>
      </c>
      <c r="B1153" t="s">
        <v>39</v>
      </c>
      <c r="C1153">
        <v>2</v>
      </c>
      <c r="D1153">
        <v>66.2</v>
      </c>
      <c r="E1153">
        <v>132.4</v>
      </c>
      <c r="F1153" s="1">
        <v>45703</v>
      </c>
      <c r="G1153" s="1">
        <v>45704</v>
      </c>
      <c r="H1153" t="s">
        <v>12</v>
      </c>
      <c r="I1153" t="s">
        <v>55</v>
      </c>
      <c r="J1153">
        <v>5</v>
      </c>
      <c r="K1153" t="s">
        <v>4</v>
      </c>
      <c r="L1153" t="s">
        <v>88</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1236</v>
      </c>
      <c r="B1154" t="s">
        <v>54</v>
      </c>
      <c r="C1154">
        <v>3</v>
      </c>
      <c r="D1154">
        <v>32.299999999999997</v>
      </c>
      <c r="E1154">
        <v>96.899999999999991</v>
      </c>
      <c r="F1154" s="1">
        <v>45703</v>
      </c>
      <c r="G1154" s="1">
        <v>45704</v>
      </c>
      <c r="H1154" t="s">
        <v>74</v>
      </c>
      <c r="I1154" t="s">
        <v>25</v>
      </c>
      <c r="J1154">
        <v>3</v>
      </c>
      <c r="K1154" t="s">
        <v>4</v>
      </c>
      <c r="L1154" t="s">
        <v>57</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1237</v>
      </c>
      <c r="B1155" t="s">
        <v>17</v>
      </c>
      <c r="C1155">
        <v>2</v>
      </c>
      <c r="D1155">
        <v>66.900000000000006</v>
      </c>
      <c r="E1155">
        <v>133.80000000000001</v>
      </c>
      <c r="F1155" s="1">
        <v>45703</v>
      </c>
      <c r="G1155" s="1">
        <v>45706</v>
      </c>
      <c r="H1155" t="s">
        <v>8</v>
      </c>
      <c r="I1155" t="s">
        <v>20</v>
      </c>
      <c r="J1155">
        <v>4</v>
      </c>
      <c r="K1155" t="s">
        <v>4</v>
      </c>
      <c r="L1155" t="s">
        <v>62</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1238</v>
      </c>
      <c r="B1156" t="s">
        <v>17</v>
      </c>
      <c r="C1156">
        <v>12</v>
      </c>
      <c r="D1156">
        <v>25.2</v>
      </c>
      <c r="E1156">
        <v>302.39999999999998</v>
      </c>
      <c r="F1156" s="1">
        <v>45703</v>
      </c>
      <c r="G1156" s="1">
        <v>45707</v>
      </c>
      <c r="H1156" t="s">
        <v>12</v>
      </c>
      <c r="I1156" t="s">
        <v>3</v>
      </c>
      <c r="J1156">
        <v>3</v>
      </c>
      <c r="K1156" t="s">
        <v>4</v>
      </c>
      <c r="L1156" t="s">
        <v>62</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1239</v>
      </c>
      <c r="B1157" t="s">
        <v>39</v>
      </c>
      <c r="C1157">
        <v>6</v>
      </c>
      <c r="D1157">
        <v>29.5</v>
      </c>
      <c r="E1157">
        <v>177</v>
      </c>
      <c r="F1157" s="1">
        <v>45703</v>
      </c>
      <c r="G1157" s="1">
        <v>45704</v>
      </c>
      <c r="H1157" t="s">
        <v>8</v>
      </c>
      <c r="I1157" t="s">
        <v>25</v>
      </c>
      <c r="J1157">
        <v>4</v>
      </c>
      <c r="K1157" t="s">
        <v>4</v>
      </c>
      <c r="L1157" t="s">
        <v>62</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1240</v>
      </c>
      <c r="B1158" t="s">
        <v>29</v>
      </c>
      <c r="C1158">
        <v>5</v>
      </c>
      <c r="D1158">
        <v>21.6</v>
      </c>
      <c r="E1158">
        <v>108</v>
      </c>
      <c r="F1158" s="1">
        <v>45703</v>
      </c>
      <c r="G1158" s="1">
        <v>45705</v>
      </c>
      <c r="H1158" t="s">
        <v>12</v>
      </c>
      <c r="I1158" t="s">
        <v>3</v>
      </c>
      <c r="J1158">
        <v>5</v>
      </c>
      <c r="K1158" t="s">
        <v>4</v>
      </c>
      <c r="L1158" t="s">
        <v>294</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1241</v>
      </c>
      <c r="B1159" t="s">
        <v>54</v>
      </c>
      <c r="C1159">
        <v>3</v>
      </c>
      <c r="D1159">
        <v>69</v>
      </c>
      <c r="E1159">
        <v>207</v>
      </c>
      <c r="F1159" s="1">
        <v>45703</v>
      </c>
      <c r="G1159" s="1">
        <v>45704</v>
      </c>
      <c r="H1159" t="s">
        <v>12</v>
      </c>
      <c r="I1159" t="s">
        <v>3</v>
      </c>
      <c r="J1159">
        <v>4</v>
      </c>
      <c r="K1159" t="s">
        <v>4</v>
      </c>
      <c r="L1159" t="s">
        <v>93</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1242</v>
      </c>
      <c r="B1160" t="s">
        <v>27</v>
      </c>
      <c r="C1160">
        <v>2</v>
      </c>
      <c r="D1160">
        <v>115</v>
      </c>
      <c r="E1160">
        <v>230</v>
      </c>
      <c r="F1160" s="1">
        <v>45703</v>
      </c>
      <c r="G1160" s="1">
        <v>45707</v>
      </c>
      <c r="H1160" t="s">
        <v>8</v>
      </c>
      <c r="I1160" t="s">
        <v>3</v>
      </c>
      <c r="J1160">
        <v>5</v>
      </c>
      <c r="K1160" t="s">
        <v>4</v>
      </c>
      <c r="L1160" t="s">
        <v>93</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1243</v>
      </c>
      <c r="B1161" t="s">
        <v>11</v>
      </c>
      <c r="C1161">
        <v>2</v>
      </c>
      <c r="D1161">
        <v>109.3</v>
      </c>
      <c r="E1161">
        <v>218.6</v>
      </c>
      <c r="F1161" s="1">
        <v>45703</v>
      </c>
      <c r="G1161" s="1">
        <v>45705</v>
      </c>
      <c r="H1161" t="s">
        <v>2</v>
      </c>
      <c r="I1161" t="s">
        <v>36</v>
      </c>
      <c r="J1161">
        <v>3</v>
      </c>
      <c r="K1161" t="s">
        <v>4</v>
      </c>
      <c r="L1161" t="s">
        <v>95</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1244</v>
      </c>
      <c r="B1162" t="s">
        <v>31</v>
      </c>
      <c r="C1162">
        <v>2</v>
      </c>
      <c r="D1162">
        <v>66.599999999999994</v>
      </c>
      <c r="E1162">
        <v>133.19999999999999</v>
      </c>
      <c r="F1162" s="1">
        <v>45703</v>
      </c>
      <c r="G1162" s="1">
        <v>45706</v>
      </c>
      <c r="H1162" t="s">
        <v>2</v>
      </c>
      <c r="I1162" t="s">
        <v>55</v>
      </c>
      <c r="J1162">
        <v>3</v>
      </c>
      <c r="K1162" t="s">
        <v>4</v>
      </c>
      <c r="L1162" t="s">
        <v>95</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1245</v>
      </c>
      <c r="B1163" t="s">
        <v>54</v>
      </c>
      <c r="C1163">
        <v>5</v>
      </c>
      <c r="D1163">
        <v>47.7</v>
      </c>
      <c r="E1163">
        <v>238.5</v>
      </c>
      <c r="F1163" s="1">
        <v>45703</v>
      </c>
      <c r="G1163" s="1">
        <v>45704</v>
      </c>
      <c r="H1163" t="s">
        <v>8</v>
      </c>
      <c r="I1163" t="s">
        <v>36</v>
      </c>
      <c r="J1163">
        <v>5</v>
      </c>
      <c r="K1163" t="s">
        <v>4</v>
      </c>
      <c r="L1163" t="s">
        <v>100</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1246</v>
      </c>
      <c r="B1164" t="s">
        <v>29</v>
      </c>
      <c r="C1164">
        <v>2</v>
      </c>
      <c r="D1164">
        <v>46</v>
      </c>
      <c r="E1164">
        <v>92</v>
      </c>
      <c r="F1164" s="1">
        <v>45703</v>
      </c>
      <c r="G1164" s="1">
        <v>45704</v>
      </c>
      <c r="H1164" t="s">
        <v>12</v>
      </c>
      <c r="I1164" t="s">
        <v>55</v>
      </c>
      <c r="J1164">
        <v>2</v>
      </c>
      <c r="K1164" t="s">
        <v>4</v>
      </c>
      <c r="L1164" t="s">
        <v>132</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1247</v>
      </c>
      <c r="B1165" t="s">
        <v>7</v>
      </c>
      <c r="C1165">
        <v>6</v>
      </c>
      <c r="D1165">
        <v>39.299999999999997</v>
      </c>
      <c r="E1165">
        <v>235.79999999999998</v>
      </c>
      <c r="F1165" s="1">
        <v>45703</v>
      </c>
      <c r="G1165" s="1">
        <v>45705</v>
      </c>
      <c r="H1165" t="s">
        <v>8</v>
      </c>
      <c r="I1165" t="s">
        <v>36</v>
      </c>
      <c r="J1165">
        <v>5</v>
      </c>
      <c r="K1165" t="s">
        <v>4</v>
      </c>
      <c r="L1165" t="s">
        <v>18</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1248</v>
      </c>
      <c r="B1166" t="s">
        <v>31</v>
      </c>
      <c r="C1166">
        <v>1</v>
      </c>
      <c r="D1166">
        <v>70.2</v>
      </c>
      <c r="E1166">
        <v>70.2</v>
      </c>
      <c r="F1166" s="1">
        <v>45703</v>
      </c>
      <c r="G1166" s="1">
        <v>45704</v>
      </c>
      <c r="H1166" t="s">
        <v>12</v>
      </c>
      <c r="I1166" t="s">
        <v>3</v>
      </c>
      <c r="J1166">
        <v>2</v>
      </c>
      <c r="K1166" t="s">
        <v>4</v>
      </c>
      <c r="L1166" t="s">
        <v>18</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1249</v>
      </c>
      <c r="B1167" t="s">
        <v>15</v>
      </c>
      <c r="C1167">
        <v>4</v>
      </c>
      <c r="D1167">
        <v>71.5</v>
      </c>
      <c r="E1167">
        <v>286</v>
      </c>
      <c r="F1167" s="1">
        <v>45703</v>
      </c>
      <c r="G1167" s="1">
        <v>45703</v>
      </c>
      <c r="H1167" t="s">
        <v>12</v>
      </c>
      <c r="I1167" t="s">
        <v>20</v>
      </c>
      <c r="J1167">
        <v>5</v>
      </c>
      <c r="K1167" t="s">
        <v>4</v>
      </c>
      <c r="L1167" t="s">
        <v>18</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1250</v>
      </c>
      <c r="B1168" t="s">
        <v>39</v>
      </c>
      <c r="C1168">
        <v>7</v>
      </c>
      <c r="D1168">
        <v>31</v>
      </c>
      <c r="E1168">
        <v>217</v>
      </c>
      <c r="F1168" s="1">
        <v>45703</v>
      </c>
      <c r="G1168" s="1">
        <v>45710</v>
      </c>
      <c r="H1168" t="s">
        <v>12</v>
      </c>
      <c r="I1168" t="s">
        <v>36</v>
      </c>
      <c r="J1168">
        <v>5</v>
      </c>
      <c r="K1168" t="s">
        <v>4</v>
      </c>
      <c r="L1168" t="s">
        <v>18</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1251</v>
      </c>
      <c r="B1169" t="s">
        <v>11</v>
      </c>
      <c r="C1169">
        <v>5</v>
      </c>
      <c r="D1169">
        <v>68.2</v>
      </c>
      <c r="E1169">
        <v>341</v>
      </c>
      <c r="F1169" s="1">
        <v>45703</v>
      </c>
      <c r="G1169" s="1">
        <v>45708</v>
      </c>
      <c r="H1169" t="s">
        <v>12</v>
      </c>
      <c r="I1169" t="s">
        <v>3</v>
      </c>
      <c r="J1169">
        <v>5</v>
      </c>
      <c r="K1169" t="s">
        <v>4</v>
      </c>
      <c r="L1169" t="s">
        <v>18</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1252</v>
      </c>
      <c r="B1170" t="s">
        <v>11</v>
      </c>
      <c r="C1170">
        <v>1</v>
      </c>
      <c r="D1170">
        <v>91.4</v>
      </c>
      <c r="E1170">
        <v>91.4</v>
      </c>
      <c r="F1170" s="1">
        <v>45703</v>
      </c>
      <c r="G1170" s="1">
        <v>45707</v>
      </c>
      <c r="H1170" t="s">
        <v>12</v>
      </c>
      <c r="I1170" t="s">
        <v>20</v>
      </c>
      <c r="J1170">
        <v>5</v>
      </c>
      <c r="K1170" t="s">
        <v>4</v>
      </c>
      <c r="L1170" t="s">
        <v>40</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1253</v>
      </c>
      <c r="B1171" t="s">
        <v>24</v>
      </c>
      <c r="C1171">
        <v>10</v>
      </c>
      <c r="D1171">
        <v>112.9</v>
      </c>
      <c r="E1171">
        <v>1129</v>
      </c>
      <c r="F1171" s="1">
        <v>45703</v>
      </c>
      <c r="G1171" s="1">
        <v>45704</v>
      </c>
      <c r="H1171" t="s">
        <v>12</v>
      </c>
      <c r="I1171" t="s">
        <v>3</v>
      </c>
      <c r="J1171">
        <v>4</v>
      </c>
      <c r="K1171" t="s">
        <v>4</v>
      </c>
      <c r="L1171" t="s">
        <v>40</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1254</v>
      </c>
      <c r="B1172" t="s">
        <v>120</v>
      </c>
      <c r="C1172">
        <v>9</v>
      </c>
      <c r="D1172">
        <v>33.700000000000003</v>
      </c>
      <c r="E1172">
        <v>303.3</v>
      </c>
      <c r="F1172" s="1">
        <v>45703</v>
      </c>
      <c r="G1172" s="1">
        <v>45704</v>
      </c>
      <c r="H1172" t="s">
        <v>12</v>
      </c>
      <c r="I1172" t="s">
        <v>20</v>
      </c>
      <c r="J1172">
        <v>5</v>
      </c>
      <c r="K1172" t="s">
        <v>4</v>
      </c>
      <c r="L1172" t="s">
        <v>47</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1255</v>
      </c>
      <c r="B1173" t="s">
        <v>108</v>
      </c>
      <c r="C1173">
        <v>10</v>
      </c>
      <c r="D1173">
        <v>35.299999999999997</v>
      </c>
      <c r="E1173">
        <v>353</v>
      </c>
      <c r="F1173" s="1">
        <v>45703</v>
      </c>
      <c r="G1173" s="1">
        <v>45705</v>
      </c>
      <c r="H1173" t="s">
        <v>8</v>
      </c>
      <c r="I1173" t="s">
        <v>25</v>
      </c>
      <c r="J1173">
        <v>4</v>
      </c>
      <c r="K1173" t="s">
        <v>4</v>
      </c>
      <c r="L1173" t="s">
        <v>47</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1256</v>
      </c>
      <c r="B1174" t="s">
        <v>131</v>
      </c>
      <c r="C1174">
        <v>3</v>
      </c>
      <c r="D1174">
        <v>45.6</v>
      </c>
      <c r="E1174">
        <v>136.80000000000001</v>
      </c>
      <c r="F1174" s="1">
        <v>45703</v>
      </c>
      <c r="G1174" s="1">
        <v>45707</v>
      </c>
      <c r="H1174" t="s">
        <v>8</v>
      </c>
      <c r="I1174" t="s">
        <v>36</v>
      </c>
      <c r="J1174">
        <v>4</v>
      </c>
      <c r="K1174" t="s">
        <v>4</v>
      </c>
      <c r="L1174" t="s">
        <v>47</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1257</v>
      </c>
      <c r="B1175" t="s">
        <v>27</v>
      </c>
      <c r="C1175">
        <v>7</v>
      </c>
      <c r="D1175">
        <v>47.1</v>
      </c>
      <c r="E1175">
        <v>329.7</v>
      </c>
      <c r="F1175" s="1">
        <v>45703</v>
      </c>
      <c r="G1175" s="1">
        <v>45704</v>
      </c>
      <c r="H1175" t="s">
        <v>12</v>
      </c>
      <c r="I1175" t="s">
        <v>55</v>
      </c>
      <c r="J1175">
        <v>5</v>
      </c>
      <c r="K1175" t="s">
        <v>4</v>
      </c>
      <c r="L1175" t="s">
        <v>57</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1258</v>
      </c>
      <c r="B1176" t="s">
        <v>29</v>
      </c>
      <c r="C1176">
        <v>5</v>
      </c>
      <c r="D1176">
        <v>16.2</v>
      </c>
      <c r="E1176">
        <v>81</v>
      </c>
      <c r="F1176" s="1">
        <v>45703</v>
      </c>
      <c r="G1176" s="1">
        <v>45705</v>
      </c>
      <c r="H1176" t="s">
        <v>12</v>
      </c>
      <c r="I1176" t="s">
        <v>36</v>
      </c>
      <c r="J1176">
        <v>5</v>
      </c>
      <c r="K1176" t="s">
        <v>4</v>
      </c>
      <c r="L1176" t="s">
        <v>95</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1259</v>
      </c>
      <c r="B1177" t="s">
        <v>7</v>
      </c>
      <c r="C1177">
        <v>2</v>
      </c>
      <c r="D1177">
        <v>159.69999999999999</v>
      </c>
      <c r="E1177">
        <v>319.39999999999998</v>
      </c>
      <c r="F1177" s="1">
        <v>45704</v>
      </c>
      <c r="G1177" s="1">
        <v>45705</v>
      </c>
      <c r="H1177" t="s">
        <v>8</v>
      </c>
      <c r="I1177" t="s">
        <v>55</v>
      </c>
      <c r="J1177">
        <v>4</v>
      </c>
      <c r="K1177" t="s">
        <v>4</v>
      </c>
      <c r="L1177" t="s">
        <v>67</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1260</v>
      </c>
      <c r="B1178" t="s">
        <v>29</v>
      </c>
      <c r="C1178">
        <v>4</v>
      </c>
      <c r="D1178">
        <v>19</v>
      </c>
      <c r="E1178">
        <v>76</v>
      </c>
      <c r="F1178" s="1">
        <v>45704</v>
      </c>
      <c r="G1178" s="1">
        <v>45711</v>
      </c>
      <c r="H1178" t="s">
        <v>12</v>
      </c>
      <c r="I1178" t="s">
        <v>25</v>
      </c>
      <c r="J1178">
        <v>5</v>
      </c>
      <c r="K1178" t="s">
        <v>4</v>
      </c>
      <c r="L1178" t="s">
        <v>100</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1261</v>
      </c>
      <c r="B1179" t="s">
        <v>24</v>
      </c>
      <c r="C1179">
        <v>6</v>
      </c>
      <c r="D1179">
        <v>91.1</v>
      </c>
      <c r="E1179">
        <v>546.59999999999991</v>
      </c>
      <c r="F1179" s="1">
        <v>45704</v>
      </c>
      <c r="G1179" s="1">
        <v>45713</v>
      </c>
      <c r="H1179" t="s">
        <v>12</v>
      </c>
      <c r="I1179" t="s">
        <v>55</v>
      </c>
      <c r="J1179">
        <v>4</v>
      </c>
      <c r="K1179" t="s">
        <v>4</v>
      </c>
      <c r="L1179" t="s">
        <v>100</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1262</v>
      </c>
      <c r="B1180" t="s">
        <v>11</v>
      </c>
      <c r="C1180">
        <v>5</v>
      </c>
      <c r="D1180">
        <v>94.1</v>
      </c>
      <c r="E1180">
        <v>470.5</v>
      </c>
      <c r="F1180" s="1">
        <v>45704</v>
      </c>
      <c r="G1180" s="1">
        <v>45707</v>
      </c>
      <c r="H1180" t="s">
        <v>2</v>
      </c>
      <c r="I1180" t="s">
        <v>20</v>
      </c>
      <c r="J1180">
        <v>3</v>
      </c>
      <c r="K1180" t="s">
        <v>4</v>
      </c>
      <c r="L1180" t="s">
        <v>100</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1263</v>
      </c>
      <c r="B1181" t="s">
        <v>31</v>
      </c>
      <c r="C1181">
        <v>9</v>
      </c>
      <c r="D1181">
        <v>21.1</v>
      </c>
      <c r="E1181">
        <v>189.9</v>
      </c>
      <c r="F1181" s="1">
        <v>45704</v>
      </c>
      <c r="G1181" s="1">
        <v>45705</v>
      </c>
      <c r="H1181" t="s">
        <v>12</v>
      </c>
      <c r="I1181" t="s">
        <v>55</v>
      </c>
      <c r="J1181">
        <v>5</v>
      </c>
      <c r="K1181" t="s">
        <v>4</v>
      </c>
      <c r="L1181" t="s">
        <v>952</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1264</v>
      </c>
      <c r="B1182" t="s">
        <v>29</v>
      </c>
      <c r="C1182">
        <v>7</v>
      </c>
      <c r="D1182">
        <v>15.3</v>
      </c>
      <c r="E1182">
        <v>107.10000000000001</v>
      </c>
      <c r="F1182" s="1">
        <v>45704</v>
      </c>
      <c r="G1182" s="1">
        <v>45712</v>
      </c>
      <c r="H1182" t="s">
        <v>12</v>
      </c>
      <c r="I1182" t="s">
        <v>25</v>
      </c>
      <c r="J1182">
        <v>4</v>
      </c>
      <c r="K1182" t="s">
        <v>4</v>
      </c>
      <c r="L1182" t="s">
        <v>9</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1265</v>
      </c>
      <c r="B1183" t="s">
        <v>108</v>
      </c>
      <c r="C1183">
        <v>4</v>
      </c>
      <c r="D1183">
        <v>21.3</v>
      </c>
      <c r="E1183">
        <v>85.2</v>
      </c>
      <c r="F1183" s="1">
        <v>45704</v>
      </c>
      <c r="G1183" s="1">
        <v>45707</v>
      </c>
      <c r="H1183" t="s">
        <v>8</v>
      </c>
      <c r="I1183" t="s">
        <v>20</v>
      </c>
      <c r="J1183">
        <v>4</v>
      </c>
      <c r="K1183" t="s">
        <v>4</v>
      </c>
      <c r="L1183" t="s">
        <v>18</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1266</v>
      </c>
      <c r="B1184" t="s">
        <v>1</v>
      </c>
      <c r="C1184">
        <v>2</v>
      </c>
      <c r="D1184">
        <v>23.2</v>
      </c>
      <c r="E1184">
        <v>46.4</v>
      </c>
      <c r="F1184" s="1">
        <v>45704</v>
      </c>
      <c r="G1184" s="1">
        <v>45704</v>
      </c>
      <c r="H1184" t="s">
        <v>2</v>
      </c>
      <c r="I1184" t="s">
        <v>36</v>
      </c>
      <c r="J1184">
        <v>3</v>
      </c>
      <c r="K1184" t="s">
        <v>4</v>
      </c>
      <c r="L1184" t="s">
        <v>18</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1267</v>
      </c>
      <c r="B1185" t="s">
        <v>17</v>
      </c>
      <c r="C1185">
        <v>3</v>
      </c>
      <c r="D1185">
        <v>25.7</v>
      </c>
      <c r="E1185">
        <v>77.099999999999994</v>
      </c>
      <c r="F1185" s="1">
        <v>45704</v>
      </c>
      <c r="G1185" s="1">
        <v>45705</v>
      </c>
      <c r="H1185" t="s">
        <v>8</v>
      </c>
      <c r="I1185" t="s">
        <v>55</v>
      </c>
      <c r="J1185">
        <v>4</v>
      </c>
      <c r="K1185" t="s">
        <v>4</v>
      </c>
      <c r="L1185" t="s">
        <v>18</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1268</v>
      </c>
      <c r="B1186" t="s">
        <v>1</v>
      </c>
      <c r="C1186">
        <v>9</v>
      </c>
      <c r="D1186">
        <v>31.6</v>
      </c>
      <c r="E1186">
        <v>284.40000000000003</v>
      </c>
      <c r="F1186" s="1">
        <v>45704</v>
      </c>
      <c r="G1186" s="1">
        <v>45706</v>
      </c>
      <c r="H1186" t="s">
        <v>12</v>
      </c>
      <c r="I1186" t="s">
        <v>3</v>
      </c>
      <c r="J1186">
        <v>4</v>
      </c>
      <c r="K1186" t="s">
        <v>4</v>
      </c>
      <c r="L1186" t="s">
        <v>18</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1269</v>
      </c>
      <c r="B1187" t="s">
        <v>24</v>
      </c>
      <c r="C1187">
        <v>1</v>
      </c>
      <c r="D1187">
        <v>64.2</v>
      </c>
      <c r="E1187">
        <v>64.2</v>
      </c>
      <c r="F1187" s="1">
        <v>45704</v>
      </c>
      <c r="G1187" s="1">
        <v>45709</v>
      </c>
      <c r="H1187" t="s">
        <v>8</v>
      </c>
      <c r="I1187" t="s">
        <v>3</v>
      </c>
      <c r="J1187">
        <v>4</v>
      </c>
      <c r="K1187" t="s">
        <v>4</v>
      </c>
      <c r="L1187" t="s">
        <v>18</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1270</v>
      </c>
      <c r="B1188" t="s">
        <v>29</v>
      </c>
      <c r="C1188">
        <v>2</v>
      </c>
      <c r="D1188">
        <v>55.8</v>
      </c>
      <c r="E1188">
        <v>111.6</v>
      </c>
      <c r="F1188" s="1">
        <v>45704</v>
      </c>
      <c r="G1188" s="1">
        <v>45706</v>
      </c>
      <c r="H1188" t="s">
        <v>2</v>
      </c>
      <c r="I1188" t="s">
        <v>3</v>
      </c>
      <c r="J1188">
        <v>4</v>
      </c>
      <c r="K1188" t="s">
        <v>4</v>
      </c>
      <c r="L1188" t="s">
        <v>18</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1271</v>
      </c>
      <c r="B1189" t="s">
        <v>29</v>
      </c>
      <c r="C1189">
        <v>2</v>
      </c>
      <c r="D1189">
        <v>28.1</v>
      </c>
      <c r="E1189">
        <v>56.2</v>
      </c>
      <c r="F1189" s="1">
        <v>45704</v>
      </c>
      <c r="G1189" s="1">
        <v>45705</v>
      </c>
      <c r="H1189" t="s">
        <v>12</v>
      </c>
      <c r="I1189" t="s">
        <v>55</v>
      </c>
      <c r="J1189">
        <v>3</v>
      </c>
      <c r="K1189" t="s">
        <v>4</v>
      </c>
      <c r="L1189" t="s">
        <v>18</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1272</v>
      </c>
      <c r="B1190" t="s">
        <v>1</v>
      </c>
      <c r="C1190">
        <v>2</v>
      </c>
      <c r="D1190">
        <v>11.6</v>
      </c>
      <c r="E1190">
        <v>23.2</v>
      </c>
      <c r="F1190" s="1">
        <v>45704</v>
      </c>
      <c r="G1190" s="1">
        <v>45706</v>
      </c>
      <c r="H1190" t="s">
        <v>12</v>
      </c>
      <c r="I1190" t="s">
        <v>20</v>
      </c>
      <c r="J1190">
        <v>4</v>
      </c>
      <c r="K1190" t="s">
        <v>4</v>
      </c>
      <c r="L1190" t="s">
        <v>171</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1273</v>
      </c>
      <c r="B1191" t="s">
        <v>22</v>
      </c>
      <c r="C1191">
        <v>3</v>
      </c>
      <c r="D1191">
        <v>50.4</v>
      </c>
      <c r="E1191">
        <v>151.19999999999999</v>
      </c>
      <c r="F1191" s="1">
        <v>45704</v>
      </c>
      <c r="G1191" s="1">
        <v>45705</v>
      </c>
      <c r="H1191" t="s">
        <v>8</v>
      </c>
      <c r="I1191" t="s">
        <v>55</v>
      </c>
      <c r="J1191">
        <v>5</v>
      </c>
      <c r="K1191" t="s">
        <v>4</v>
      </c>
      <c r="L1191" t="s">
        <v>173</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1274</v>
      </c>
      <c r="B1192" t="s">
        <v>24</v>
      </c>
      <c r="C1192">
        <v>6</v>
      </c>
      <c r="D1192">
        <v>48.3</v>
      </c>
      <c r="E1192">
        <v>289.79999999999995</v>
      </c>
      <c r="F1192" s="1">
        <v>45704</v>
      </c>
      <c r="G1192" s="1">
        <v>45708</v>
      </c>
      <c r="H1192" t="s">
        <v>12</v>
      </c>
      <c r="I1192" t="s">
        <v>3</v>
      </c>
      <c r="J1192">
        <v>4</v>
      </c>
      <c r="K1192" t="s">
        <v>4</v>
      </c>
      <c r="L1192" t="s">
        <v>173</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1275</v>
      </c>
      <c r="B1193" t="s">
        <v>120</v>
      </c>
      <c r="C1193">
        <v>7</v>
      </c>
      <c r="D1193">
        <v>32.200000000000003</v>
      </c>
      <c r="E1193">
        <v>225.40000000000003</v>
      </c>
      <c r="F1193" s="1">
        <v>45704</v>
      </c>
      <c r="G1193" s="1">
        <v>45706</v>
      </c>
      <c r="H1193" t="s">
        <v>12</v>
      </c>
      <c r="I1193" t="s">
        <v>25</v>
      </c>
      <c r="J1193">
        <v>4</v>
      </c>
      <c r="K1193" t="s">
        <v>4</v>
      </c>
      <c r="L1193" t="s">
        <v>173</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1276</v>
      </c>
      <c r="B1194" t="s">
        <v>27</v>
      </c>
      <c r="C1194">
        <v>28</v>
      </c>
      <c r="D1194">
        <v>48.5</v>
      </c>
      <c r="E1194">
        <v>1358</v>
      </c>
      <c r="F1194" s="1">
        <v>45704</v>
      </c>
      <c r="G1194" s="1">
        <v>45705</v>
      </c>
      <c r="H1194" t="s">
        <v>8</v>
      </c>
      <c r="I1194" t="s">
        <v>3</v>
      </c>
      <c r="J1194">
        <v>4</v>
      </c>
      <c r="K1194" t="s">
        <v>4</v>
      </c>
      <c r="L1194" t="s">
        <v>37</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1277</v>
      </c>
      <c r="B1195" t="s">
        <v>11</v>
      </c>
      <c r="C1195">
        <v>5</v>
      </c>
      <c r="D1195">
        <v>62</v>
      </c>
      <c r="E1195">
        <v>310</v>
      </c>
      <c r="F1195" s="1">
        <v>45704</v>
      </c>
      <c r="G1195" s="1">
        <v>45707</v>
      </c>
      <c r="H1195" t="s">
        <v>12</v>
      </c>
      <c r="I1195" t="s">
        <v>20</v>
      </c>
      <c r="J1195">
        <v>4</v>
      </c>
      <c r="K1195" t="s">
        <v>4</v>
      </c>
      <c r="L1195" t="s">
        <v>40</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1278</v>
      </c>
      <c r="B1196" t="s">
        <v>29</v>
      </c>
      <c r="C1196">
        <v>3</v>
      </c>
      <c r="D1196">
        <v>32.1</v>
      </c>
      <c r="E1196">
        <v>96.300000000000011</v>
      </c>
      <c r="F1196" s="1">
        <v>45705</v>
      </c>
      <c r="G1196" s="1">
        <v>45707</v>
      </c>
      <c r="H1196" t="s">
        <v>8</v>
      </c>
      <c r="I1196" t="s">
        <v>3</v>
      </c>
      <c r="J1196">
        <v>4</v>
      </c>
      <c r="K1196" t="s">
        <v>4</v>
      </c>
      <c r="L1196" t="s">
        <v>40</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1279</v>
      </c>
      <c r="B1197" t="s">
        <v>54</v>
      </c>
      <c r="C1197">
        <v>3</v>
      </c>
      <c r="D1197">
        <v>106.1</v>
      </c>
      <c r="E1197">
        <v>318.29999999999995</v>
      </c>
      <c r="F1197" s="1">
        <v>45705</v>
      </c>
      <c r="G1197" s="1">
        <v>45707</v>
      </c>
      <c r="H1197" t="s">
        <v>8</v>
      </c>
      <c r="I1197" t="s">
        <v>3</v>
      </c>
      <c r="J1197">
        <v>3</v>
      </c>
      <c r="K1197" t="s">
        <v>4</v>
      </c>
      <c r="L1197" t="s">
        <v>44</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1280</v>
      </c>
      <c r="B1198" t="s">
        <v>39</v>
      </c>
      <c r="C1198">
        <v>3</v>
      </c>
      <c r="D1198">
        <v>23.5</v>
      </c>
      <c r="E1198">
        <v>70.5</v>
      </c>
      <c r="F1198" s="1">
        <v>45705</v>
      </c>
      <c r="G1198" s="1">
        <v>45708</v>
      </c>
      <c r="H1198" t="s">
        <v>8</v>
      </c>
      <c r="I1198" t="s">
        <v>3</v>
      </c>
      <c r="J1198">
        <v>2</v>
      </c>
      <c r="K1198" t="s">
        <v>4</v>
      </c>
      <c r="L1198" t="s">
        <v>44</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1281</v>
      </c>
      <c r="B1199" t="s">
        <v>7</v>
      </c>
      <c r="C1199">
        <v>2</v>
      </c>
      <c r="D1199">
        <v>35.6</v>
      </c>
      <c r="E1199">
        <v>71.2</v>
      </c>
      <c r="F1199" s="1">
        <v>45705</v>
      </c>
      <c r="G1199" s="1">
        <v>45710</v>
      </c>
      <c r="H1199" t="s">
        <v>8</v>
      </c>
      <c r="I1199" t="s">
        <v>55</v>
      </c>
      <c r="J1199">
        <v>4</v>
      </c>
      <c r="K1199" t="s">
        <v>4</v>
      </c>
      <c r="L1199" t="s">
        <v>47</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1282</v>
      </c>
      <c r="B1200" t="s">
        <v>7</v>
      </c>
      <c r="C1200">
        <v>2</v>
      </c>
      <c r="D1200">
        <v>63.5</v>
      </c>
      <c r="E1200">
        <v>127</v>
      </c>
      <c r="F1200" s="1">
        <v>45705</v>
      </c>
      <c r="G1200" s="1">
        <v>45705</v>
      </c>
      <c r="H1200" t="s">
        <v>12</v>
      </c>
      <c r="I1200" t="s">
        <v>20</v>
      </c>
      <c r="J1200">
        <v>5</v>
      </c>
      <c r="K1200" t="s">
        <v>4</v>
      </c>
      <c r="L1200" t="s">
        <v>47</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1283</v>
      </c>
      <c r="B1201" t="s">
        <v>24</v>
      </c>
      <c r="C1201">
        <v>7</v>
      </c>
      <c r="D1201">
        <v>82.9</v>
      </c>
      <c r="E1201">
        <v>580.30000000000007</v>
      </c>
      <c r="F1201" s="1">
        <v>45705</v>
      </c>
      <c r="G1201" s="1">
        <v>45710</v>
      </c>
      <c r="H1201" t="s">
        <v>12</v>
      </c>
      <c r="I1201" t="s">
        <v>55</v>
      </c>
      <c r="J1201">
        <v>4</v>
      </c>
      <c r="K1201" t="s">
        <v>4</v>
      </c>
      <c r="L1201" t="s">
        <v>57</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1284</v>
      </c>
      <c r="B1202" t="s">
        <v>24</v>
      </c>
      <c r="C1202">
        <v>2</v>
      </c>
      <c r="D1202">
        <v>83.6</v>
      </c>
      <c r="E1202">
        <v>167.2</v>
      </c>
      <c r="F1202" s="1">
        <v>45705</v>
      </c>
      <c r="G1202" s="1">
        <v>45710</v>
      </c>
      <c r="H1202" t="s">
        <v>12</v>
      </c>
      <c r="I1202" t="s">
        <v>3</v>
      </c>
      <c r="J1202">
        <v>4</v>
      </c>
      <c r="K1202" t="s">
        <v>4</v>
      </c>
      <c r="L1202" t="s">
        <v>62</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1285</v>
      </c>
      <c r="B1203" t="s">
        <v>17</v>
      </c>
      <c r="C1203">
        <v>2</v>
      </c>
      <c r="D1203">
        <v>29.4</v>
      </c>
      <c r="E1203">
        <v>58.8</v>
      </c>
      <c r="F1203" s="1">
        <v>45705</v>
      </c>
      <c r="G1203" s="1">
        <v>45705</v>
      </c>
      <c r="H1203" t="s">
        <v>12</v>
      </c>
      <c r="I1203" t="s">
        <v>3</v>
      </c>
      <c r="J1203">
        <v>3</v>
      </c>
      <c r="K1203" t="s">
        <v>4</v>
      </c>
      <c r="L1203" t="s">
        <v>253</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1286</v>
      </c>
      <c r="B1204" t="s">
        <v>11</v>
      </c>
      <c r="C1204">
        <v>3</v>
      </c>
      <c r="D1204">
        <v>107.1</v>
      </c>
      <c r="E1204">
        <v>321.29999999999995</v>
      </c>
      <c r="F1204" s="1">
        <v>45705</v>
      </c>
      <c r="G1204" s="1">
        <v>45709</v>
      </c>
      <c r="H1204" t="s">
        <v>12</v>
      </c>
      <c r="I1204" t="s">
        <v>25</v>
      </c>
      <c r="J1204">
        <v>4</v>
      </c>
      <c r="K1204" t="s">
        <v>4</v>
      </c>
      <c r="L1204" t="s">
        <v>98</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1287</v>
      </c>
      <c r="B1205" t="s">
        <v>11</v>
      </c>
      <c r="C1205">
        <v>1</v>
      </c>
      <c r="D1205">
        <v>62.7</v>
      </c>
      <c r="E1205">
        <v>62.7</v>
      </c>
      <c r="F1205" s="1">
        <v>45705</v>
      </c>
      <c r="G1205" s="1">
        <v>45709</v>
      </c>
      <c r="H1205" t="s">
        <v>8</v>
      </c>
      <c r="I1205" t="s">
        <v>20</v>
      </c>
      <c r="J1205">
        <v>4</v>
      </c>
      <c r="K1205" t="s">
        <v>4</v>
      </c>
      <c r="L1205" t="s">
        <v>100</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1288</v>
      </c>
      <c r="B1206" t="s">
        <v>52</v>
      </c>
      <c r="C1206">
        <v>1</v>
      </c>
      <c r="D1206">
        <v>41.6</v>
      </c>
      <c r="E1206">
        <v>41.6</v>
      </c>
      <c r="F1206" s="1">
        <v>45705</v>
      </c>
      <c r="G1206" s="1">
        <v>45706</v>
      </c>
      <c r="H1206" t="s">
        <v>8</v>
      </c>
      <c r="I1206" t="s">
        <v>3</v>
      </c>
      <c r="J1206">
        <v>3</v>
      </c>
      <c r="K1206" t="s">
        <v>4</v>
      </c>
      <c r="L1206" t="s">
        <v>9</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1289</v>
      </c>
      <c r="B1207" t="s">
        <v>24</v>
      </c>
      <c r="C1207">
        <v>1</v>
      </c>
      <c r="D1207">
        <v>44.2</v>
      </c>
      <c r="E1207">
        <v>44.2</v>
      </c>
      <c r="F1207" s="1">
        <v>45705</v>
      </c>
      <c r="G1207" s="1">
        <v>45706</v>
      </c>
      <c r="H1207" t="s">
        <v>74</v>
      </c>
      <c r="I1207" t="s">
        <v>3</v>
      </c>
      <c r="J1207">
        <v>3</v>
      </c>
      <c r="K1207" t="s">
        <v>4</v>
      </c>
      <c r="L1207" t="s">
        <v>9</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1290</v>
      </c>
      <c r="B1208" t="s">
        <v>17</v>
      </c>
      <c r="C1208">
        <v>6</v>
      </c>
      <c r="D1208">
        <v>40.4</v>
      </c>
      <c r="E1208">
        <v>242.39999999999998</v>
      </c>
      <c r="F1208" s="1">
        <v>45705</v>
      </c>
      <c r="G1208" s="1">
        <v>45718</v>
      </c>
      <c r="H1208" t="s">
        <v>12</v>
      </c>
      <c r="I1208" t="s">
        <v>25</v>
      </c>
      <c r="J1208">
        <v>4</v>
      </c>
      <c r="K1208" t="s">
        <v>4</v>
      </c>
      <c r="L1208" t="s">
        <v>132</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1291</v>
      </c>
      <c r="B1209" t="s">
        <v>108</v>
      </c>
      <c r="C1209">
        <v>6</v>
      </c>
      <c r="D1209">
        <v>59.6</v>
      </c>
      <c r="E1209">
        <v>357.6</v>
      </c>
      <c r="F1209" s="1">
        <v>45705</v>
      </c>
      <c r="G1209" s="1">
        <v>45706</v>
      </c>
      <c r="H1209" t="s">
        <v>12</v>
      </c>
      <c r="I1209" t="s">
        <v>55</v>
      </c>
      <c r="J1209">
        <v>4</v>
      </c>
      <c r="K1209" t="s">
        <v>4</v>
      </c>
      <c r="L1209" t="s">
        <v>319</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1292</v>
      </c>
      <c r="B1210" t="s">
        <v>120</v>
      </c>
      <c r="C1210">
        <v>12</v>
      </c>
      <c r="D1210">
        <v>63.8</v>
      </c>
      <c r="E1210">
        <v>765.59999999999991</v>
      </c>
      <c r="F1210" s="1">
        <v>45705</v>
      </c>
      <c r="G1210" s="1">
        <v>45706</v>
      </c>
      <c r="H1210" t="s">
        <v>8</v>
      </c>
      <c r="I1210" t="s">
        <v>20</v>
      </c>
      <c r="J1210">
        <v>4</v>
      </c>
      <c r="K1210" t="s">
        <v>4</v>
      </c>
      <c r="L1210" t="s">
        <v>18</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1293</v>
      </c>
      <c r="B1211" t="s">
        <v>31</v>
      </c>
      <c r="C1211">
        <v>6</v>
      </c>
      <c r="D1211">
        <v>30.8</v>
      </c>
      <c r="E1211">
        <v>184.8</v>
      </c>
      <c r="F1211" s="1">
        <v>45705</v>
      </c>
      <c r="G1211" s="1">
        <v>45707</v>
      </c>
      <c r="H1211" t="s">
        <v>8</v>
      </c>
      <c r="I1211" t="s">
        <v>55</v>
      </c>
      <c r="J1211">
        <v>4</v>
      </c>
      <c r="K1211" t="s">
        <v>4</v>
      </c>
      <c r="L1211" t="s">
        <v>18</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1294</v>
      </c>
      <c r="B1212" t="s">
        <v>7</v>
      </c>
      <c r="C1212">
        <v>2</v>
      </c>
      <c r="D1212">
        <v>41.5</v>
      </c>
      <c r="E1212">
        <v>83</v>
      </c>
      <c r="F1212" s="1">
        <v>45705</v>
      </c>
      <c r="G1212" s="1">
        <v>45708</v>
      </c>
      <c r="H1212" t="s">
        <v>74</v>
      </c>
      <c r="I1212" t="s">
        <v>3</v>
      </c>
      <c r="J1212">
        <v>4</v>
      </c>
      <c r="K1212" t="s">
        <v>4</v>
      </c>
      <c r="L1212" t="s">
        <v>18</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1295</v>
      </c>
      <c r="B1213" t="s">
        <v>39</v>
      </c>
      <c r="C1213">
        <v>4</v>
      </c>
      <c r="D1213">
        <v>44.7</v>
      </c>
      <c r="E1213">
        <v>178.8</v>
      </c>
      <c r="F1213" s="1">
        <v>45705</v>
      </c>
      <c r="G1213" s="1">
        <v>45707</v>
      </c>
      <c r="H1213" t="s">
        <v>12</v>
      </c>
      <c r="I1213" t="s">
        <v>25</v>
      </c>
      <c r="J1213">
        <v>3</v>
      </c>
      <c r="K1213" t="s">
        <v>4</v>
      </c>
      <c r="L1213" t="s">
        <v>18</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1296</v>
      </c>
      <c r="B1214" t="s">
        <v>54</v>
      </c>
      <c r="C1214">
        <v>2</v>
      </c>
      <c r="D1214">
        <v>64.099999999999994</v>
      </c>
      <c r="E1214">
        <v>128.19999999999999</v>
      </c>
      <c r="F1214" s="1">
        <v>45705</v>
      </c>
      <c r="G1214" s="1">
        <v>45709</v>
      </c>
      <c r="H1214" t="s">
        <v>12</v>
      </c>
      <c r="I1214" t="s">
        <v>20</v>
      </c>
      <c r="J1214">
        <v>2</v>
      </c>
      <c r="K1214" t="s">
        <v>4</v>
      </c>
      <c r="L1214" t="s">
        <v>18</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1297</v>
      </c>
      <c r="B1215" t="s">
        <v>29</v>
      </c>
      <c r="C1215">
        <v>1</v>
      </c>
      <c r="D1215">
        <v>15.9</v>
      </c>
      <c r="E1215">
        <v>15.9</v>
      </c>
      <c r="F1215" s="1">
        <v>45705</v>
      </c>
      <c r="G1215" s="1">
        <v>45708</v>
      </c>
      <c r="H1215" t="s">
        <v>2</v>
      </c>
      <c r="I1215" t="s">
        <v>20</v>
      </c>
      <c r="J1215">
        <v>4</v>
      </c>
      <c r="K1215" t="s">
        <v>4</v>
      </c>
      <c r="L1215" t="s">
        <v>18</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1298</v>
      </c>
      <c r="B1216" t="s">
        <v>24</v>
      </c>
      <c r="C1216">
        <v>2</v>
      </c>
      <c r="D1216">
        <v>78.7</v>
      </c>
      <c r="E1216">
        <v>157.4</v>
      </c>
      <c r="F1216" s="1">
        <v>45705</v>
      </c>
      <c r="G1216" s="1">
        <v>45705</v>
      </c>
      <c r="H1216" t="s">
        <v>12</v>
      </c>
      <c r="I1216" t="s">
        <v>25</v>
      </c>
      <c r="J1216">
        <v>3</v>
      </c>
      <c r="K1216" t="s">
        <v>4</v>
      </c>
      <c r="L1216" t="s">
        <v>18</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1299</v>
      </c>
      <c r="B1217" t="s">
        <v>22</v>
      </c>
      <c r="C1217">
        <v>12</v>
      </c>
      <c r="D1217">
        <v>29.6</v>
      </c>
      <c r="E1217">
        <v>355.20000000000005</v>
      </c>
      <c r="F1217" s="1">
        <v>45705</v>
      </c>
      <c r="G1217" s="1">
        <v>45709</v>
      </c>
      <c r="H1217" t="s">
        <v>8</v>
      </c>
      <c r="I1217" t="s">
        <v>25</v>
      </c>
      <c r="J1217">
        <v>2</v>
      </c>
      <c r="K1217" t="s">
        <v>4</v>
      </c>
      <c r="L1217" t="s">
        <v>18</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1300</v>
      </c>
      <c r="B1218" t="s">
        <v>29</v>
      </c>
      <c r="C1218">
        <v>4</v>
      </c>
      <c r="D1218">
        <v>21.5</v>
      </c>
      <c r="E1218">
        <v>86</v>
      </c>
      <c r="F1218" s="1">
        <v>45705</v>
      </c>
      <c r="G1218" s="1">
        <v>45708</v>
      </c>
      <c r="H1218" t="s">
        <v>8</v>
      </c>
      <c r="I1218" t="s">
        <v>20</v>
      </c>
      <c r="J1218">
        <v>4</v>
      </c>
      <c r="K1218" t="s">
        <v>4</v>
      </c>
      <c r="L1218" t="s">
        <v>18</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1301</v>
      </c>
      <c r="B1219" t="s">
        <v>31</v>
      </c>
      <c r="C1219">
        <v>3</v>
      </c>
      <c r="D1219">
        <v>74.900000000000006</v>
      </c>
      <c r="E1219">
        <v>224.70000000000002</v>
      </c>
      <c r="F1219" s="1">
        <v>45705</v>
      </c>
      <c r="G1219" s="1">
        <v>45714</v>
      </c>
      <c r="H1219" t="s">
        <v>8</v>
      </c>
      <c r="I1219" t="s">
        <v>36</v>
      </c>
      <c r="J1219">
        <v>3</v>
      </c>
      <c r="K1219" t="s">
        <v>4</v>
      </c>
      <c r="L1219" t="s">
        <v>18</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1302</v>
      </c>
      <c r="B1220" t="s">
        <v>39</v>
      </c>
      <c r="C1220">
        <v>6</v>
      </c>
      <c r="D1220">
        <v>45</v>
      </c>
      <c r="E1220">
        <v>270</v>
      </c>
      <c r="F1220" s="1">
        <v>45705</v>
      </c>
      <c r="G1220" s="1">
        <v>45710</v>
      </c>
      <c r="H1220" t="s">
        <v>12</v>
      </c>
      <c r="I1220" t="s">
        <v>25</v>
      </c>
      <c r="J1220">
        <v>4</v>
      </c>
      <c r="K1220" t="s">
        <v>4</v>
      </c>
      <c r="L1220" t="s">
        <v>18</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1303</v>
      </c>
      <c r="B1221" t="s">
        <v>27</v>
      </c>
      <c r="C1221">
        <v>34</v>
      </c>
      <c r="D1221">
        <v>37.9</v>
      </c>
      <c r="E1221">
        <v>1288.5999999999999</v>
      </c>
      <c r="F1221" s="1">
        <v>45705</v>
      </c>
      <c r="G1221" s="1">
        <v>45706</v>
      </c>
      <c r="H1221" t="s">
        <v>8</v>
      </c>
      <c r="I1221" t="s">
        <v>3</v>
      </c>
      <c r="J1221">
        <v>4</v>
      </c>
      <c r="K1221" t="s">
        <v>4</v>
      </c>
      <c r="L1221" t="s">
        <v>18</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1304</v>
      </c>
      <c r="B1222" t="s">
        <v>24</v>
      </c>
      <c r="C1222">
        <v>3</v>
      </c>
      <c r="D1222">
        <v>56.6</v>
      </c>
      <c r="E1222">
        <v>169.8</v>
      </c>
      <c r="F1222" s="1">
        <v>45705</v>
      </c>
      <c r="G1222" s="1">
        <v>45706</v>
      </c>
      <c r="H1222" t="s">
        <v>8</v>
      </c>
      <c r="I1222" t="s">
        <v>36</v>
      </c>
      <c r="J1222">
        <v>4</v>
      </c>
      <c r="K1222" t="s">
        <v>4</v>
      </c>
      <c r="L1222" t="s">
        <v>18</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1305</v>
      </c>
      <c r="B1223" t="s">
        <v>15</v>
      </c>
      <c r="C1223">
        <v>13</v>
      </c>
      <c r="D1223">
        <v>84.5</v>
      </c>
      <c r="E1223">
        <v>1098.5</v>
      </c>
      <c r="F1223" s="1">
        <v>45705</v>
      </c>
      <c r="G1223" s="1">
        <v>45708</v>
      </c>
      <c r="H1223" t="s">
        <v>12</v>
      </c>
      <c r="I1223" t="s">
        <v>20</v>
      </c>
      <c r="J1223">
        <v>2</v>
      </c>
      <c r="K1223" t="s">
        <v>4</v>
      </c>
      <c r="L1223" t="s">
        <v>18</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1306</v>
      </c>
      <c r="B1224" t="s">
        <v>11</v>
      </c>
      <c r="C1224">
        <v>5</v>
      </c>
      <c r="D1224">
        <v>105.4</v>
      </c>
      <c r="E1224">
        <v>527</v>
      </c>
      <c r="F1224" s="1">
        <v>45705</v>
      </c>
      <c r="G1224" s="1">
        <v>45707</v>
      </c>
      <c r="H1224" t="s">
        <v>12</v>
      </c>
      <c r="I1224" t="s">
        <v>20</v>
      </c>
      <c r="J1224">
        <v>3</v>
      </c>
      <c r="K1224" t="s">
        <v>4</v>
      </c>
      <c r="L1224" t="s">
        <v>18</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1307</v>
      </c>
      <c r="B1225" t="s">
        <v>131</v>
      </c>
      <c r="C1225">
        <v>7</v>
      </c>
      <c r="D1225">
        <v>39.4</v>
      </c>
      <c r="E1225">
        <v>275.8</v>
      </c>
      <c r="F1225" s="1">
        <v>45706</v>
      </c>
      <c r="G1225" s="1">
        <v>45706</v>
      </c>
      <c r="H1225" t="s">
        <v>8</v>
      </c>
      <c r="I1225" t="s">
        <v>20</v>
      </c>
      <c r="J1225">
        <v>4</v>
      </c>
      <c r="K1225" t="s">
        <v>4</v>
      </c>
      <c r="L1225" t="s">
        <v>349</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1308</v>
      </c>
      <c r="B1226" t="s">
        <v>156</v>
      </c>
      <c r="C1226">
        <v>3</v>
      </c>
      <c r="D1226">
        <v>38</v>
      </c>
      <c r="E1226">
        <v>114</v>
      </c>
      <c r="F1226" s="1">
        <v>45706</v>
      </c>
      <c r="G1226" s="1">
        <v>45709</v>
      </c>
      <c r="H1226" t="s">
        <v>8</v>
      </c>
      <c r="I1226" t="s">
        <v>55</v>
      </c>
      <c r="J1226">
        <v>3</v>
      </c>
      <c r="K1226" t="s">
        <v>4</v>
      </c>
      <c r="L1226" t="s">
        <v>40</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1309</v>
      </c>
      <c r="B1227" t="s">
        <v>120</v>
      </c>
      <c r="C1227">
        <v>4</v>
      </c>
      <c r="D1227">
        <v>42.5</v>
      </c>
      <c r="E1227">
        <v>170</v>
      </c>
      <c r="F1227" s="1">
        <v>45706</v>
      </c>
      <c r="G1227" s="1">
        <v>45708</v>
      </c>
      <c r="H1227" t="s">
        <v>2</v>
      </c>
      <c r="I1227" t="s">
        <v>3</v>
      </c>
      <c r="J1227">
        <v>4</v>
      </c>
      <c r="K1227" t="s">
        <v>4</v>
      </c>
      <c r="L1227" t="s">
        <v>40</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1310</v>
      </c>
      <c r="B1228" t="s">
        <v>108</v>
      </c>
      <c r="C1228">
        <v>1</v>
      </c>
      <c r="D1228">
        <v>62.3</v>
      </c>
      <c r="E1228">
        <v>62.3</v>
      </c>
      <c r="F1228" s="1">
        <v>45706</v>
      </c>
      <c r="G1228" s="1">
        <v>45715</v>
      </c>
      <c r="H1228" t="s">
        <v>8</v>
      </c>
      <c r="I1228" t="s">
        <v>3</v>
      </c>
      <c r="J1228">
        <v>5</v>
      </c>
      <c r="K1228" t="s">
        <v>4</v>
      </c>
      <c r="L1228" t="s">
        <v>40</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1311</v>
      </c>
      <c r="B1229" t="s">
        <v>24</v>
      </c>
      <c r="C1229">
        <v>5</v>
      </c>
      <c r="D1229">
        <v>49.1</v>
      </c>
      <c r="E1229">
        <v>245.5</v>
      </c>
      <c r="F1229" s="1">
        <v>45706</v>
      </c>
      <c r="G1229" s="1">
        <v>45708</v>
      </c>
      <c r="H1229" t="s">
        <v>12</v>
      </c>
      <c r="I1229" t="s">
        <v>20</v>
      </c>
      <c r="J1229">
        <v>5</v>
      </c>
      <c r="K1229" t="s">
        <v>4</v>
      </c>
      <c r="L1229" t="s">
        <v>44</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1312</v>
      </c>
      <c r="B1230" t="s">
        <v>15</v>
      </c>
      <c r="C1230">
        <v>2</v>
      </c>
      <c r="D1230">
        <v>30.5</v>
      </c>
      <c r="E1230">
        <v>61</v>
      </c>
      <c r="F1230" s="1">
        <v>45706</v>
      </c>
      <c r="G1230" s="1">
        <v>45709</v>
      </c>
      <c r="H1230" t="s">
        <v>8</v>
      </c>
      <c r="I1230" t="s">
        <v>3</v>
      </c>
      <c r="J1230">
        <v>5</v>
      </c>
      <c r="K1230" t="s">
        <v>4</v>
      </c>
      <c r="L1230" t="s">
        <v>47</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1313</v>
      </c>
      <c r="B1231" t="s">
        <v>11</v>
      </c>
      <c r="C1231">
        <v>2</v>
      </c>
      <c r="D1231">
        <v>154.80000000000001</v>
      </c>
      <c r="E1231">
        <v>309.60000000000002</v>
      </c>
      <c r="F1231" s="1">
        <v>45706</v>
      </c>
      <c r="G1231" s="1">
        <v>45709</v>
      </c>
      <c r="H1231" t="s">
        <v>12</v>
      </c>
      <c r="I1231" t="s">
        <v>20</v>
      </c>
      <c r="J1231">
        <v>2</v>
      </c>
      <c r="K1231" t="s">
        <v>4</v>
      </c>
      <c r="L1231" t="s">
        <v>47</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1314</v>
      </c>
      <c r="B1232" t="s">
        <v>24</v>
      </c>
      <c r="C1232">
        <v>1</v>
      </c>
      <c r="D1232">
        <v>45</v>
      </c>
      <c r="E1232">
        <v>45</v>
      </c>
      <c r="F1232" s="1">
        <v>45706</v>
      </c>
      <c r="G1232" s="1">
        <v>45710</v>
      </c>
      <c r="H1232" t="s">
        <v>8</v>
      </c>
      <c r="I1232" t="s">
        <v>36</v>
      </c>
      <c r="J1232">
        <v>3</v>
      </c>
      <c r="K1232" t="s">
        <v>4</v>
      </c>
      <c r="L1232" t="s">
        <v>47</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1315</v>
      </c>
      <c r="B1233" t="s">
        <v>1</v>
      </c>
      <c r="C1233">
        <v>7</v>
      </c>
      <c r="D1233">
        <v>15.3</v>
      </c>
      <c r="E1233">
        <v>107.10000000000001</v>
      </c>
      <c r="F1233" s="1">
        <v>45706</v>
      </c>
      <c r="G1233" s="1">
        <v>45707</v>
      </c>
      <c r="H1233" t="s">
        <v>8</v>
      </c>
      <c r="I1233" t="s">
        <v>3</v>
      </c>
      <c r="J1233">
        <v>5</v>
      </c>
      <c r="K1233" t="s">
        <v>4</v>
      </c>
      <c r="L1233" t="s">
        <v>47</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1316</v>
      </c>
      <c r="B1234" t="s">
        <v>11</v>
      </c>
      <c r="C1234">
        <v>11</v>
      </c>
      <c r="D1234">
        <v>88.6</v>
      </c>
      <c r="E1234">
        <v>974.59999999999991</v>
      </c>
      <c r="F1234" s="1">
        <v>45706</v>
      </c>
      <c r="G1234" s="1">
        <v>45709</v>
      </c>
      <c r="H1234" t="s">
        <v>12</v>
      </c>
      <c r="I1234" t="s">
        <v>3</v>
      </c>
      <c r="J1234">
        <v>2</v>
      </c>
      <c r="K1234" t="s">
        <v>4</v>
      </c>
      <c r="L1234" t="s">
        <v>88</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1317</v>
      </c>
      <c r="B1235" t="s">
        <v>31</v>
      </c>
      <c r="C1235">
        <v>2</v>
      </c>
      <c r="D1235">
        <v>49.7</v>
      </c>
      <c r="E1235">
        <v>99.4</v>
      </c>
      <c r="F1235" s="1">
        <v>45706</v>
      </c>
      <c r="G1235" s="1">
        <v>45708</v>
      </c>
      <c r="H1235" t="s">
        <v>74</v>
      </c>
      <c r="I1235" t="s">
        <v>55</v>
      </c>
      <c r="J1235">
        <v>4</v>
      </c>
      <c r="K1235" t="s">
        <v>4</v>
      </c>
      <c r="L1235" t="s">
        <v>59</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1318</v>
      </c>
      <c r="B1236" t="s">
        <v>39</v>
      </c>
      <c r="C1236">
        <v>1</v>
      </c>
      <c r="D1236">
        <v>29</v>
      </c>
      <c r="E1236">
        <v>29</v>
      </c>
      <c r="F1236" s="1">
        <v>45706</v>
      </c>
      <c r="G1236" s="1">
        <v>45707</v>
      </c>
      <c r="H1236" t="s">
        <v>8</v>
      </c>
      <c r="I1236" t="s">
        <v>3</v>
      </c>
      <c r="J1236">
        <v>4</v>
      </c>
      <c r="K1236" t="s">
        <v>4</v>
      </c>
      <c r="L1236" t="s">
        <v>62</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1319</v>
      </c>
      <c r="B1237" t="s">
        <v>7</v>
      </c>
      <c r="C1237">
        <v>1</v>
      </c>
      <c r="D1237">
        <v>60.7</v>
      </c>
      <c r="E1237">
        <v>60.7</v>
      </c>
      <c r="F1237" s="1">
        <v>45706</v>
      </c>
      <c r="G1237" s="1">
        <v>45707</v>
      </c>
      <c r="H1237" t="s">
        <v>74</v>
      </c>
      <c r="I1237" t="s">
        <v>3</v>
      </c>
      <c r="J1237">
        <v>3</v>
      </c>
      <c r="K1237" t="s">
        <v>4</v>
      </c>
      <c r="L1237" t="s">
        <v>62</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1320</v>
      </c>
      <c r="B1238" t="s">
        <v>120</v>
      </c>
      <c r="C1238">
        <v>4</v>
      </c>
      <c r="D1238">
        <v>87.4</v>
      </c>
      <c r="E1238">
        <v>349.6</v>
      </c>
      <c r="F1238" s="1">
        <v>45706</v>
      </c>
      <c r="G1238" s="1">
        <v>45708</v>
      </c>
      <c r="H1238" t="s">
        <v>2</v>
      </c>
      <c r="I1238" t="s">
        <v>3</v>
      </c>
      <c r="J1238">
        <v>4</v>
      </c>
      <c r="K1238" t="s">
        <v>4</v>
      </c>
      <c r="L1238" t="s">
        <v>62</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1321</v>
      </c>
      <c r="B1239" t="s">
        <v>17</v>
      </c>
      <c r="C1239">
        <v>7</v>
      </c>
      <c r="D1239">
        <v>44.5</v>
      </c>
      <c r="E1239">
        <v>311.5</v>
      </c>
      <c r="F1239" s="1">
        <v>45706</v>
      </c>
      <c r="G1239" s="1">
        <v>45710</v>
      </c>
      <c r="H1239" t="s">
        <v>12</v>
      </c>
      <c r="I1239" t="s">
        <v>25</v>
      </c>
      <c r="J1239">
        <v>5</v>
      </c>
      <c r="K1239" t="s">
        <v>4</v>
      </c>
      <c r="L1239" t="s">
        <v>95</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1322</v>
      </c>
      <c r="B1240" t="s">
        <v>11</v>
      </c>
      <c r="C1240">
        <v>1</v>
      </c>
      <c r="D1240">
        <v>141</v>
      </c>
      <c r="E1240">
        <v>141</v>
      </c>
      <c r="F1240" s="1">
        <v>45706</v>
      </c>
      <c r="G1240" s="1">
        <v>45707</v>
      </c>
      <c r="H1240" t="s">
        <v>8</v>
      </c>
      <c r="I1240" t="s">
        <v>55</v>
      </c>
      <c r="J1240">
        <v>5</v>
      </c>
      <c r="K1240" t="s">
        <v>4</v>
      </c>
      <c r="L1240" t="s">
        <v>95</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1323</v>
      </c>
      <c r="B1241" t="s">
        <v>1</v>
      </c>
      <c r="C1241">
        <v>3</v>
      </c>
      <c r="D1241">
        <v>16.7</v>
      </c>
      <c r="E1241">
        <v>50.099999999999994</v>
      </c>
      <c r="F1241" s="1">
        <v>45706</v>
      </c>
      <c r="G1241" s="1">
        <v>45714</v>
      </c>
      <c r="H1241" t="s">
        <v>12</v>
      </c>
      <c r="I1241" t="s">
        <v>3</v>
      </c>
      <c r="J1241">
        <v>4</v>
      </c>
      <c r="K1241" t="s">
        <v>4</v>
      </c>
      <c r="L1241" t="s">
        <v>98</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1324</v>
      </c>
      <c r="B1242" t="s">
        <v>7</v>
      </c>
      <c r="C1242">
        <v>2</v>
      </c>
      <c r="D1242">
        <v>77.5</v>
      </c>
      <c r="E1242">
        <v>155</v>
      </c>
      <c r="F1242" s="1">
        <v>45706</v>
      </c>
      <c r="G1242" s="1">
        <v>45707</v>
      </c>
      <c r="H1242" t="s">
        <v>2</v>
      </c>
      <c r="I1242" t="s">
        <v>25</v>
      </c>
      <c r="J1242">
        <v>5</v>
      </c>
      <c r="K1242" t="s">
        <v>4</v>
      </c>
      <c r="L1242" t="s">
        <v>67</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1325</v>
      </c>
      <c r="B1243" t="s">
        <v>11</v>
      </c>
      <c r="C1243">
        <v>2</v>
      </c>
      <c r="D1243">
        <v>163</v>
      </c>
      <c r="E1243">
        <v>326</v>
      </c>
      <c r="F1243" s="1">
        <v>45706</v>
      </c>
      <c r="G1243" s="1">
        <v>45712</v>
      </c>
      <c r="H1243" t="s">
        <v>12</v>
      </c>
      <c r="I1243" t="s">
        <v>55</v>
      </c>
      <c r="J1243">
        <v>4</v>
      </c>
      <c r="K1243" t="s">
        <v>4</v>
      </c>
      <c r="L1243" t="s">
        <v>100</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1326</v>
      </c>
      <c r="B1244" t="s">
        <v>17</v>
      </c>
      <c r="C1244">
        <v>9</v>
      </c>
      <c r="D1244">
        <v>21.4</v>
      </c>
      <c r="E1244">
        <v>192.6</v>
      </c>
      <c r="F1244" s="1">
        <v>45706</v>
      </c>
      <c r="G1244" s="1">
        <v>45709</v>
      </c>
      <c r="H1244" t="s">
        <v>12</v>
      </c>
      <c r="I1244" t="s">
        <v>3</v>
      </c>
      <c r="J1244">
        <v>4</v>
      </c>
      <c r="K1244" t="s">
        <v>4</v>
      </c>
      <c r="L1244" t="s">
        <v>952</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1327</v>
      </c>
      <c r="B1245" t="s">
        <v>39</v>
      </c>
      <c r="C1245">
        <v>11</v>
      </c>
      <c r="D1245">
        <v>31</v>
      </c>
      <c r="E1245">
        <v>341</v>
      </c>
      <c r="F1245" s="1">
        <v>45706</v>
      </c>
      <c r="G1245" s="1">
        <v>45708</v>
      </c>
      <c r="H1245" t="s">
        <v>12</v>
      </c>
      <c r="I1245" t="s">
        <v>36</v>
      </c>
      <c r="J1245">
        <v>5</v>
      </c>
      <c r="K1245" t="s">
        <v>4</v>
      </c>
      <c r="L1245" t="s">
        <v>9</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1328</v>
      </c>
      <c r="B1246" t="s">
        <v>27</v>
      </c>
      <c r="C1246">
        <v>2</v>
      </c>
      <c r="D1246">
        <v>34.299999999999997</v>
      </c>
      <c r="E1246">
        <v>68.599999999999994</v>
      </c>
      <c r="F1246" s="1">
        <v>45706</v>
      </c>
      <c r="G1246" s="1">
        <v>45708</v>
      </c>
      <c r="H1246" t="s">
        <v>12</v>
      </c>
      <c r="I1246" t="s">
        <v>3</v>
      </c>
      <c r="J1246">
        <v>1</v>
      </c>
      <c r="K1246" t="s">
        <v>4</v>
      </c>
      <c r="L1246" t="s">
        <v>9</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1329</v>
      </c>
      <c r="B1247" t="s">
        <v>120</v>
      </c>
      <c r="C1247">
        <v>5</v>
      </c>
      <c r="D1247">
        <v>48.2</v>
      </c>
      <c r="E1247">
        <v>241</v>
      </c>
      <c r="F1247" s="1">
        <v>45706</v>
      </c>
      <c r="G1247" s="1">
        <v>45707</v>
      </c>
      <c r="H1247" t="s">
        <v>8</v>
      </c>
      <c r="I1247" t="s">
        <v>20</v>
      </c>
      <c r="J1247">
        <v>3</v>
      </c>
      <c r="K1247" t="s">
        <v>4</v>
      </c>
      <c r="L1247" t="s">
        <v>13</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1330</v>
      </c>
      <c r="B1248" t="s">
        <v>39</v>
      </c>
      <c r="C1248">
        <v>1</v>
      </c>
      <c r="D1248">
        <v>51.4</v>
      </c>
      <c r="E1248">
        <v>51.4</v>
      </c>
      <c r="F1248" s="1">
        <v>45706</v>
      </c>
      <c r="G1248" s="1">
        <v>45707</v>
      </c>
      <c r="H1248" t="s">
        <v>8</v>
      </c>
      <c r="I1248" t="s">
        <v>3</v>
      </c>
      <c r="J1248">
        <v>4</v>
      </c>
      <c r="K1248" t="s">
        <v>4</v>
      </c>
      <c r="L1248" t="s">
        <v>18</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1331</v>
      </c>
      <c r="B1249" t="s">
        <v>11</v>
      </c>
      <c r="C1249">
        <v>5</v>
      </c>
      <c r="D1249">
        <v>117.2</v>
      </c>
      <c r="E1249">
        <v>586</v>
      </c>
      <c r="F1249" s="1">
        <v>45706</v>
      </c>
      <c r="G1249" s="1">
        <v>45709</v>
      </c>
      <c r="H1249" t="s">
        <v>12</v>
      </c>
      <c r="I1249" t="s">
        <v>55</v>
      </c>
      <c r="J1249">
        <v>2</v>
      </c>
      <c r="K1249" t="s">
        <v>4</v>
      </c>
      <c r="L1249" t="s">
        <v>18</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1332</v>
      </c>
      <c r="B1250" t="s">
        <v>29</v>
      </c>
      <c r="C1250">
        <v>1</v>
      </c>
      <c r="D1250">
        <v>38.1</v>
      </c>
      <c r="E1250">
        <v>38.1</v>
      </c>
      <c r="F1250" s="1">
        <v>45706</v>
      </c>
      <c r="G1250" s="1">
        <v>45706</v>
      </c>
      <c r="H1250" t="s">
        <v>8</v>
      </c>
      <c r="I1250" t="s">
        <v>55</v>
      </c>
      <c r="J1250">
        <v>3</v>
      </c>
      <c r="K1250" t="s">
        <v>4</v>
      </c>
      <c r="L1250" t="s">
        <v>18</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1333</v>
      </c>
      <c r="B1251" t="s">
        <v>1</v>
      </c>
      <c r="C1251">
        <v>2</v>
      </c>
      <c r="D1251">
        <v>44.1</v>
      </c>
      <c r="E1251">
        <v>88.2</v>
      </c>
      <c r="F1251" s="1">
        <v>45706</v>
      </c>
      <c r="G1251" s="1">
        <v>45708</v>
      </c>
      <c r="H1251" t="s">
        <v>12</v>
      </c>
      <c r="I1251" t="s">
        <v>25</v>
      </c>
      <c r="J1251">
        <v>4</v>
      </c>
      <c r="K1251" t="s">
        <v>4</v>
      </c>
      <c r="L1251" t="s">
        <v>18</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1334</v>
      </c>
      <c r="B1252" t="s">
        <v>108</v>
      </c>
      <c r="C1252">
        <v>4</v>
      </c>
      <c r="D1252">
        <v>80.5</v>
      </c>
      <c r="E1252">
        <v>322</v>
      </c>
      <c r="F1252" s="1">
        <v>45706</v>
      </c>
      <c r="G1252" s="1">
        <v>45711</v>
      </c>
      <c r="H1252" t="s">
        <v>8</v>
      </c>
      <c r="I1252" t="s">
        <v>3</v>
      </c>
      <c r="J1252">
        <v>4</v>
      </c>
      <c r="K1252" t="s">
        <v>4</v>
      </c>
      <c r="L1252" t="s">
        <v>18</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1335</v>
      </c>
      <c r="B1253" t="s">
        <v>131</v>
      </c>
      <c r="C1253">
        <v>4</v>
      </c>
      <c r="D1253">
        <v>33.6</v>
      </c>
      <c r="E1253">
        <v>134.4</v>
      </c>
      <c r="F1253" s="1">
        <v>45706</v>
      </c>
      <c r="G1253" s="1">
        <v>45711</v>
      </c>
      <c r="H1253" t="s">
        <v>2</v>
      </c>
      <c r="I1253" t="s">
        <v>3</v>
      </c>
      <c r="J1253">
        <v>5</v>
      </c>
      <c r="K1253" t="s">
        <v>4</v>
      </c>
      <c r="L1253" t="s">
        <v>18</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1336</v>
      </c>
      <c r="B1254" t="s">
        <v>31</v>
      </c>
      <c r="C1254">
        <v>9</v>
      </c>
      <c r="D1254">
        <v>41.8</v>
      </c>
      <c r="E1254">
        <v>376.2</v>
      </c>
      <c r="F1254" s="1">
        <v>45706</v>
      </c>
      <c r="G1254" s="1">
        <v>45707</v>
      </c>
      <c r="H1254" t="s">
        <v>12</v>
      </c>
      <c r="I1254" t="s">
        <v>3</v>
      </c>
      <c r="J1254">
        <v>3</v>
      </c>
      <c r="K1254" t="s">
        <v>4</v>
      </c>
      <c r="L1254" t="s">
        <v>18</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1337</v>
      </c>
      <c r="B1255" t="s">
        <v>7</v>
      </c>
      <c r="C1255">
        <v>2</v>
      </c>
      <c r="D1255">
        <v>106.2</v>
      </c>
      <c r="E1255">
        <v>212.4</v>
      </c>
      <c r="F1255" s="1">
        <v>45706</v>
      </c>
      <c r="G1255" s="1">
        <v>45706</v>
      </c>
      <c r="H1255" t="s">
        <v>12</v>
      </c>
      <c r="I1255" t="s">
        <v>55</v>
      </c>
      <c r="J1255">
        <v>5</v>
      </c>
      <c r="K1255" t="s">
        <v>4</v>
      </c>
      <c r="L1255" t="s">
        <v>18</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1338</v>
      </c>
      <c r="B1256" t="s">
        <v>7</v>
      </c>
      <c r="C1256">
        <v>2</v>
      </c>
      <c r="D1256">
        <v>52.6</v>
      </c>
      <c r="E1256">
        <v>105.2</v>
      </c>
      <c r="F1256" s="1">
        <v>45706</v>
      </c>
      <c r="G1256" s="1">
        <v>45707</v>
      </c>
      <c r="H1256" t="s">
        <v>12</v>
      </c>
      <c r="I1256" t="s">
        <v>3</v>
      </c>
      <c r="J1256">
        <v>5</v>
      </c>
      <c r="K1256" t="s">
        <v>4</v>
      </c>
      <c r="L1256" t="s">
        <v>37</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1339</v>
      </c>
      <c r="B1257" t="s">
        <v>52</v>
      </c>
      <c r="C1257">
        <v>7</v>
      </c>
      <c r="D1257">
        <v>68.5</v>
      </c>
      <c r="E1257">
        <v>479.5</v>
      </c>
      <c r="F1257" s="1">
        <v>45706</v>
      </c>
      <c r="G1257" s="1">
        <v>45707</v>
      </c>
      <c r="H1257" t="s">
        <v>12</v>
      </c>
      <c r="I1257" t="s">
        <v>20</v>
      </c>
      <c r="J1257">
        <v>4</v>
      </c>
      <c r="K1257" t="s">
        <v>4</v>
      </c>
      <c r="L1257" t="s">
        <v>37</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1340</v>
      </c>
      <c r="B1258" t="s">
        <v>7</v>
      </c>
      <c r="C1258">
        <v>2</v>
      </c>
      <c r="D1258">
        <v>55.6</v>
      </c>
      <c r="E1258">
        <v>111.2</v>
      </c>
      <c r="F1258" s="1">
        <v>45706</v>
      </c>
      <c r="G1258" s="1">
        <v>45708</v>
      </c>
      <c r="H1258" t="s">
        <v>8</v>
      </c>
      <c r="I1258" t="s">
        <v>20</v>
      </c>
      <c r="J1258">
        <v>5</v>
      </c>
      <c r="K1258" t="s">
        <v>4</v>
      </c>
      <c r="L1258" t="s">
        <v>40</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1341</v>
      </c>
      <c r="B1259" t="s">
        <v>11</v>
      </c>
      <c r="C1259">
        <v>3</v>
      </c>
      <c r="D1259">
        <v>134.9</v>
      </c>
      <c r="E1259">
        <v>404.70000000000005</v>
      </c>
      <c r="F1259" s="1">
        <v>45706</v>
      </c>
      <c r="G1259" s="1">
        <v>45707</v>
      </c>
      <c r="H1259" t="s">
        <v>8</v>
      </c>
      <c r="I1259" t="s">
        <v>20</v>
      </c>
      <c r="J1259">
        <v>3</v>
      </c>
      <c r="K1259" t="s">
        <v>4</v>
      </c>
      <c r="L1259" t="s">
        <v>40</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1342</v>
      </c>
      <c r="B1260" t="s">
        <v>39</v>
      </c>
      <c r="C1260">
        <v>5</v>
      </c>
      <c r="D1260">
        <v>42.6</v>
      </c>
      <c r="E1260">
        <v>213</v>
      </c>
      <c r="F1260" s="1">
        <v>45706</v>
      </c>
      <c r="G1260" s="1">
        <v>45707</v>
      </c>
      <c r="H1260" t="s">
        <v>8</v>
      </c>
      <c r="I1260" t="s">
        <v>3</v>
      </c>
      <c r="J1260">
        <v>4</v>
      </c>
      <c r="K1260" t="s">
        <v>4</v>
      </c>
      <c r="L1260" t="s">
        <v>40</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1343</v>
      </c>
      <c r="B1261" t="s">
        <v>27</v>
      </c>
      <c r="C1261">
        <v>5</v>
      </c>
      <c r="D1261">
        <v>60.6</v>
      </c>
      <c r="E1261">
        <v>303</v>
      </c>
      <c r="F1261" s="1">
        <v>45706</v>
      </c>
      <c r="G1261" s="1">
        <v>45708</v>
      </c>
      <c r="H1261" t="s">
        <v>8</v>
      </c>
      <c r="I1261" t="s">
        <v>55</v>
      </c>
      <c r="J1261">
        <v>4</v>
      </c>
      <c r="K1261" t="s">
        <v>4</v>
      </c>
      <c r="L1261" t="s">
        <v>40</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1344</v>
      </c>
      <c r="B1262" t="s">
        <v>29</v>
      </c>
      <c r="C1262">
        <v>2</v>
      </c>
      <c r="D1262">
        <v>43.5</v>
      </c>
      <c r="E1262">
        <v>87</v>
      </c>
      <c r="F1262" s="1">
        <v>45706</v>
      </c>
      <c r="G1262" s="1">
        <v>45707</v>
      </c>
      <c r="H1262" t="s">
        <v>8</v>
      </c>
      <c r="I1262" t="s">
        <v>55</v>
      </c>
      <c r="J1262">
        <v>4</v>
      </c>
      <c r="K1262" t="s">
        <v>4</v>
      </c>
      <c r="L1262" t="s">
        <v>44</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1345</v>
      </c>
      <c r="B1263" t="s">
        <v>11</v>
      </c>
      <c r="C1263">
        <v>2</v>
      </c>
      <c r="D1263">
        <v>187.1</v>
      </c>
      <c r="E1263">
        <v>374.2</v>
      </c>
      <c r="F1263" s="1">
        <v>45706</v>
      </c>
      <c r="G1263" s="1">
        <v>45707</v>
      </c>
      <c r="H1263" t="s">
        <v>8</v>
      </c>
      <c r="I1263" t="s">
        <v>20</v>
      </c>
      <c r="J1263">
        <v>5</v>
      </c>
      <c r="K1263" t="s">
        <v>4</v>
      </c>
      <c r="L1263" t="s">
        <v>47</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1346</v>
      </c>
      <c r="B1264" t="s">
        <v>31</v>
      </c>
      <c r="C1264">
        <v>3</v>
      </c>
      <c r="D1264">
        <v>32</v>
      </c>
      <c r="E1264">
        <v>96</v>
      </c>
      <c r="F1264" s="1">
        <v>45706</v>
      </c>
      <c r="G1264" s="1">
        <v>45708</v>
      </c>
      <c r="H1264" t="s">
        <v>8</v>
      </c>
      <c r="I1264" t="s">
        <v>3</v>
      </c>
      <c r="J1264">
        <v>4</v>
      </c>
      <c r="K1264" t="s">
        <v>4</v>
      </c>
      <c r="L1264" t="s">
        <v>47</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1347</v>
      </c>
      <c r="B1265" t="s">
        <v>31</v>
      </c>
      <c r="C1265">
        <v>2</v>
      </c>
      <c r="D1265">
        <v>110.8</v>
      </c>
      <c r="E1265">
        <v>221.6</v>
      </c>
      <c r="F1265" s="1">
        <v>45706</v>
      </c>
      <c r="G1265" s="1">
        <v>45706</v>
      </c>
      <c r="H1265" t="s">
        <v>8</v>
      </c>
      <c r="I1265" t="s">
        <v>3</v>
      </c>
      <c r="J1265">
        <v>5</v>
      </c>
      <c r="K1265" t="s">
        <v>4</v>
      </c>
      <c r="L1265" t="s">
        <v>47</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1348</v>
      </c>
      <c r="B1266" t="s">
        <v>39</v>
      </c>
      <c r="C1266">
        <v>13</v>
      </c>
      <c r="D1266">
        <v>36.1</v>
      </c>
      <c r="E1266">
        <v>469.3</v>
      </c>
      <c r="F1266" s="1">
        <v>45706</v>
      </c>
      <c r="G1266" s="1">
        <v>45709</v>
      </c>
      <c r="H1266" t="s">
        <v>12</v>
      </c>
      <c r="I1266" t="s">
        <v>3</v>
      </c>
      <c r="J1266">
        <v>3</v>
      </c>
      <c r="K1266" t="s">
        <v>4</v>
      </c>
      <c r="L1266" t="s">
        <v>47</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1349</v>
      </c>
      <c r="B1267" t="s">
        <v>1</v>
      </c>
      <c r="C1267">
        <v>1</v>
      </c>
      <c r="D1267">
        <v>24.1</v>
      </c>
      <c r="E1267">
        <v>24.1</v>
      </c>
      <c r="F1267" s="1">
        <v>45706</v>
      </c>
      <c r="G1267" s="1">
        <v>45708</v>
      </c>
      <c r="H1267" t="s">
        <v>12</v>
      </c>
      <c r="I1267" t="s">
        <v>55</v>
      </c>
      <c r="J1267">
        <v>5</v>
      </c>
      <c r="K1267" t="s">
        <v>4</v>
      </c>
      <c r="L1267" t="s">
        <v>47</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1350</v>
      </c>
      <c r="B1268" t="s">
        <v>156</v>
      </c>
      <c r="C1268">
        <v>3</v>
      </c>
      <c r="D1268">
        <v>30.5</v>
      </c>
      <c r="E1268">
        <v>91.5</v>
      </c>
      <c r="F1268" s="1">
        <v>45706</v>
      </c>
      <c r="G1268" s="1">
        <v>45708</v>
      </c>
      <c r="H1268" t="s">
        <v>8</v>
      </c>
      <c r="I1268" t="s">
        <v>20</v>
      </c>
      <c r="J1268">
        <v>4</v>
      </c>
      <c r="K1268" t="s">
        <v>4</v>
      </c>
      <c r="L1268" t="s">
        <v>47</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1351</v>
      </c>
      <c r="B1269" t="s">
        <v>131</v>
      </c>
      <c r="C1269">
        <v>6</v>
      </c>
      <c r="D1269">
        <v>68.3</v>
      </c>
      <c r="E1269">
        <v>409.79999999999995</v>
      </c>
      <c r="F1269" s="1">
        <v>45706</v>
      </c>
      <c r="G1269" s="1">
        <v>45709</v>
      </c>
      <c r="H1269" t="s">
        <v>8</v>
      </c>
      <c r="I1269" t="s">
        <v>3</v>
      </c>
      <c r="J1269">
        <v>4</v>
      </c>
      <c r="K1269" t="s">
        <v>4</v>
      </c>
      <c r="L1269" t="s">
        <v>47</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1352</v>
      </c>
      <c r="B1270" t="s">
        <v>27</v>
      </c>
      <c r="C1270">
        <v>3</v>
      </c>
      <c r="D1270">
        <v>43.3</v>
      </c>
      <c r="E1270">
        <v>129.89999999999998</v>
      </c>
      <c r="F1270" s="1">
        <v>45706</v>
      </c>
      <c r="G1270" s="1">
        <v>45710</v>
      </c>
      <c r="H1270" t="s">
        <v>12</v>
      </c>
      <c r="I1270" t="s">
        <v>3</v>
      </c>
      <c r="J1270">
        <v>4</v>
      </c>
      <c r="K1270" t="s">
        <v>4</v>
      </c>
      <c r="L1270" t="s">
        <v>88</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1353</v>
      </c>
      <c r="B1271" t="s">
        <v>15</v>
      </c>
      <c r="C1271">
        <v>1</v>
      </c>
      <c r="D1271">
        <v>101.7</v>
      </c>
      <c r="E1271">
        <v>101.7</v>
      </c>
      <c r="F1271" s="1">
        <v>45706</v>
      </c>
      <c r="G1271" s="1">
        <v>45709</v>
      </c>
      <c r="H1271" t="s">
        <v>12</v>
      </c>
      <c r="I1271" t="s">
        <v>3</v>
      </c>
      <c r="J1271">
        <v>3</v>
      </c>
      <c r="K1271" t="s">
        <v>4</v>
      </c>
      <c r="L1271" t="s">
        <v>88</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1354</v>
      </c>
      <c r="B1272" t="s">
        <v>52</v>
      </c>
      <c r="C1272">
        <v>2</v>
      </c>
      <c r="D1272">
        <v>54.2</v>
      </c>
      <c r="E1272">
        <v>108.4</v>
      </c>
      <c r="F1272" s="1">
        <v>45706</v>
      </c>
      <c r="G1272" s="1">
        <v>45707</v>
      </c>
      <c r="H1272" t="s">
        <v>12</v>
      </c>
      <c r="I1272" t="s">
        <v>3</v>
      </c>
      <c r="J1272">
        <v>3</v>
      </c>
      <c r="K1272" t="s">
        <v>4</v>
      </c>
      <c r="L1272" t="s">
        <v>88</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1355</v>
      </c>
      <c r="B1273" t="s">
        <v>113</v>
      </c>
      <c r="C1273">
        <v>2</v>
      </c>
      <c r="D1273">
        <v>51</v>
      </c>
      <c r="E1273">
        <v>102</v>
      </c>
      <c r="F1273" s="1">
        <v>45706</v>
      </c>
      <c r="G1273" s="1">
        <v>45706</v>
      </c>
      <c r="H1273" t="s">
        <v>8</v>
      </c>
      <c r="I1273" t="s">
        <v>20</v>
      </c>
      <c r="J1273">
        <v>4</v>
      </c>
      <c r="K1273" t="s">
        <v>4</v>
      </c>
      <c r="L1273" t="s">
        <v>186</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1356</v>
      </c>
      <c r="B1274" t="s">
        <v>17</v>
      </c>
      <c r="C1274">
        <v>2</v>
      </c>
      <c r="D1274">
        <v>23.1</v>
      </c>
      <c r="E1274">
        <v>46.2</v>
      </c>
      <c r="F1274" s="1">
        <v>45706</v>
      </c>
      <c r="G1274" s="1">
        <v>45709</v>
      </c>
      <c r="H1274" t="s">
        <v>8</v>
      </c>
      <c r="I1274" t="s">
        <v>20</v>
      </c>
      <c r="J1274">
        <v>4</v>
      </c>
      <c r="K1274" t="s">
        <v>4</v>
      </c>
      <c r="L1274" t="s">
        <v>59</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1357</v>
      </c>
      <c r="B1275" t="s">
        <v>54</v>
      </c>
      <c r="C1275">
        <v>6</v>
      </c>
      <c r="D1275">
        <v>60.1</v>
      </c>
      <c r="E1275">
        <v>360.6</v>
      </c>
      <c r="F1275" s="1">
        <v>45706</v>
      </c>
      <c r="G1275" s="1">
        <v>45706</v>
      </c>
      <c r="H1275" t="s">
        <v>12</v>
      </c>
      <c r="I1275" t="s">
        <v>36</v>
      </c>
      <c r="J1275">
        <v>4</v>
      </c>
      <c r="K1275" t="s">
        <v>4</v>
      </c>
      <c r="L1275" t="s">
        <v>62</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1358</v>
      </c>
      <c r="B1276" t="s">
        <v>11</v>
      </c>
      <c r="C1276">
        <v>7</v>
      </c>
      <c r="D1276">
        <v>87.5</v>
      </c>
      <c r="E1276">
        <v>612.5</v>
      </c>
      <c r="F1276" s="1">
        <v>45706</v>
      </c>
      <c r="G1276" s="1">
        <v>45708</v>
      </c>
      <c r="H1276" t="s">
        <v>12</v>
      </c>
      <c r="I1276" t="s">
        <v>3</v>
      </c>
      <c r="J1276">
        <v>3</v>
      </c>
      <c r="K1276" t="s">
        <v>4</v>
      </c>
      <c r="L1276" t="s">
        <v>62</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1359</v>
      </c>
      <c r="B1277" t="s">
        <v>7</v>
      </c>
      <c r="C1277">
        <v>3</v>
      </c>
      <c r="D1277">
        <v>51</v>
      </c>
      <c r="E1277">
        <v>153</v>
      </c>
      <c r="F1277" s="1">
        <v>45706</v>
      </c>
      <c r="G1277" s="1">
        <v>45707</v>
      </c>
      <c r="H1277" t="s">
        <v>12</v>
      </c>
      <c r="I1277" t="s">
        <v>20</v>
      </c>
      <c r="J1277">
        <v>4</v>
      </c>
      <c r="K1277" t="s">
        <v>4</v>
      </c>
      <c r="L1277" t="s">
        <v>62</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1360</v>
      </c>
      <c r="B1278" t="s">
        <v>29</v>
      </c>
      <c r="C1278">
        <v>4</v>
      </c>
      <c r="D1278">
        <v>19.2</v>
      </c>
      <c r="E1278">
        <v>76.8</v>
      </c>
      <c r="F1278" s="1">
        <v>45706</v>
      </c>
      <c r="G1278" s="1">
        <v>45708</v>
      </c>
      <c r="H1278" t="s">
        <v>12</v>
      </c>
      <c r="I1278" t="s">
        <v>3</v>
      </c>
      <c r="J1278">
        <v>4</v>
      </c>
      <c r="K1278" t="s">
        <v>4</v>
      </c>
      <c r="L1278" t="s">
        <v>62</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1361</v>
      </c>
      <c r="B1279" t="s">
        <v>22</v>
      </c>
      <c r="C1279">
        <v>8</v>
      </c>
      <c r="D1279">
        <v>26.5</v>
      </c>
      <c r="E1279">
        <v>212</v>
      </c>
      <c r="F1279" s="1">
        <v>45706</v>
      </c>
      <c r="G1279" s="1">
        <v>45707</v>
      </c>
      <c r="H1279" t="s">
        <v>2</v>
      </c>
      <c r="I1279" t="s">
        <v>36</v>
      </c>
      <c r="J1279">
        <v>5</v>
      </c>
      <c r="K1279" t="s">
        <v>4</v>
      </c>
      <c r="L1279" t="s">
        <v>62</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1362</v>
      </c>
      <c r="B1280" t="s">
        <v>11</v>
      </c>
      <c r="C1280">
        <v>2</v>
      </c>
      <c r="D1280">
        <v>220.3</v>
      </c>
      <c r="E1280">
        <v>440.6</v>
      </c>
      <c r="F1280" s="1">
        <v>45706</v>
      </c>
      <c r="G1280" s="1">
        <v>45707</v>
      </c>
      <c r="H1280" t="s">
        <v>12</v>
      </c>
      <c r="I1280" t="s">
        <v>20</v>
      </c>
      <c r="J1280">
        <v>2</v>
      </c>
      <c r="K1280" t="s">
        <v>4</v>
      </c>
      <c r="L1280" t="s">
        <v>1101</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1363</v>
      </c>
      <c r="B1281" t="s">
        <v>29</v>
      </c>
      <c r="C1281">
        <v>3</v>
      </c>
      <c r="D1281">
        <v>45.7</v>
      </c>
      <c r="E1281">
        <v>137.10000000000002</v>
      </c>
      <c r="F1281" s="1">
        <v>45706</v>
      </c>
      <c r="G1281" s="1">
        <v>45707</v>
      </c>
      <c r="H1281" t="s">
        <v>12</v>
      </c>
      <c r="I1281" t="s">
        <v>55</v>
      </c>
      <c r="J1281">
        <v>4</v>
      </c>
      <c r="K1281" t="s">
        <v>4</v>
      </c>
      <c r="L1281" t="s">
        <v>253</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1364</v>
      </c>
      <c r="B1282" t="s">
        <v>22</v>
      </c>
      <c r="C1282">
        <v>5</v>
      </c>
      <c r="D1282">
        <v>47.1</v>
      </c>
      <c r="E1282">
        <v>235.5</v>
      </c>
      <c r="F1282" s="1">
        <v>45706</v>
      </c>
      <c r="G1282" s="1">
        <v>45710</v>
      </c>
      <c r="H1282" t="s">
        <v>12</v>
      </c>
      <c r="I1282" t="s">
        <v>36</v>
      </c>
      <c r="J1282">
        <v>4</v>
      </c>
      <c r="K1282" t="s">
        <v>4</v>
      </c>
      <c r="L1282" t="s">
        <v>67</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1365</v>
      </c>
      <c r="B1283" t="s">
        <v>7</v>
      </c>
      <c r="C1283">
        <v>5</v>
      </c>
      <c r="D1283">
        <v>81.7</v>
      </c>
      <c r="E1283">
        <v>408.5</v>
      </c>
      <c r="F1283" s="1">
        <v>45706</v>
      </c>
      <c r="G1283" s="1">
        <v>45707</v>
      </c>
      <c r="H1283" t="s">
        <v>12</v>
      </c>
      <c r="I1283" t="s">
        <v>3</v>
      </c>
      <c r="J1283">
        <v>5</v>
      </c>
      <c r="K1283" t="s">
        <v>4</v>
      </c>
      <c r="L1283" t="s">
        <v>100</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1366</v>
      </c>
      <c r="B1284" t="s">
        <v>24</v>
      </c>
      <c r="C1284">
        <v>10</v>
      </c>
      <c r="D1284">
        <v>97.8</v>
      </c>
      <c r="E1284">
        <v>978</v>
      </c>
      <c r="F1284" s="1">
        <v>45706</v>
      </c>
      <c r="G1284" s="1">
        <v>45706</v>
      </c>
      <c r="H1284" t="s">
        <v>8</v>
      </c>
      <c r="I1284" t="s">
        <v>20</v>
      </c>
      <c r="J1284">
        <v>3</v>
      </c>
      <c r="K1284" t="s">
        <v>4</v>
      </c>
      <c r="L1284" t="s">
        <v>100</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1367</v>
      </c>
      <c r="B1285" t="s">
        <v>24</v>
      </c>
      <c r="C1285">
        <v>3</v>
      </c>
      <c r="D1285">
        <v>42.4</v>
      </c>
      <c r="E1285">
        <v>127.19999999999999</v>
      </c>
      <c r="F1285" s="1">
        <v>45706</v>
      </c>
      <c r="G1285" s="1">
        <v>45707</v>
      </c>
      <c r="H1285" t="s">
        <v>12</v>
      </c>
      <c r="I1285" t="s">
        <v>3</v>
      </c>
      <c r="J1285">
        <v>5</v>
      </c>
      <c r="K1285" t="s">
        <v>4</v>
      </c>
      <c r="L1285" t="s">
        <v>1368</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1369</v>
      </c>
      <c r="B1286" t="s">
        <v>11</v>
      </c>
      <c r="C1286">
        <v>10</v>
      </c>
      <c r="D1286">
        <v>74.5</v>
      </c>
      <c r="E1286">
        <v>745</v>
      </c>
      <c r="F1286" s="1">
        <v>45706</v>
      </c>
      <c r="G1286" s="1">
        <v>45707</v>
      </c>
      <c r="H1286" t="s">
        <v>8</v>
      </c>
      <c r="I1286" t="s">
        <v>25</v>
      </c>
      <c r="J1286">
        <v>3</v>
      </c>
      <c r="K1286" t="s">
        <v>4</v>
      </c>
      <c r="L1286" t="s">
        <v>9</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1370</v>
      </c>
      <c r="B1287" t="s">
        <v>120</v>
      </c>
      <c r="C1287">
        <v>6</v>
      </c>
      <c r="D1287">
        <v>47.4</v>
      </c>
      <c r="E1287">
        <v>284.39999999999998</v>
      </c>
      <c r="F1287" s="1">
        <v>45706</v>
      </c>
      <c r="G1287" s="1">
        <v>45707</v>
      </c>
      <c r="H1287" t="s">
        <v>8</v>
      </c>
      <c r="I1287" t="s">
        <v>20</v>
      </c>
      <c r="J1287">
        <v>4</v>
      </c>
      <c r="K1287" t="s">
        <v>4</v>
      </c>
      <c r="L1287" t="s">
        <v>9</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1371</v>
      </c>
      <c r="B1288" t="s">
        <v>66</v>
      </c>
      <c r="C1288">
        <v>3</v>
      </c>
      <c r="D1288">
        <v>17.3</v>
      </c>
      <c r="E1288">
        <v>51.900000000000006</v>
      </c>
      <c r="F1288" s="1">
        <v>45707</v>
      </c>
      <c r="G1288" s="1">
        <v>45710</v>
      </c>
      <c r="H1288" t="s">
        <v>8</v>
      </c>
      <c r="I1288" t="s">
        <v>25</v>
      </c>
      <c r="J1288">
        <v>5</v>
      </c>
      <c r="K1288" t="s">
        <v>4</v>
      </c>
      <c r="L1288" t="s">
        <v>9</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1372</v>
      </c>
      <c r="B1289" t="s">
        <v>54</v>
      </c>
      <c r="C1289">
        <v>4</v>
      </c>
      <c r="D1289">
        <v>77.900000000000006</v>
      </c>
      <c r="E1289">
        <v>311.60000000000002</v>
      </c>
      <c r="F1289" s="1">
        <v>45707</v>
      </c>
      <c r="G1289" s="1">
        <v>45708</v>
      </c>
      <c r="H1289" t="s">
        <v>8</v>
      </c>
      <c r="I1289" t="s">
        <v>20</v>
      </c>
      <c r="J1289">
        <v>4</v>
      </c>
      <c r="K1289" t="s">
        <v>4</v>
      </c>
      <c r="L1289" t="s">
        <v>13</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1373</v>
      </c>
      <c r="B1290" t="s">
        <v>29</v>
      </c>
      <c r="C1290">
        <v>1</v>
      </c>
      <c r="D1290">
        <v>29.1</v>
      </c>
      <c r="E1290">
        <v>29.1</v>
      </c>
      <c r="F1290" s="1">
        <v>45707</v>
      </c>
      <c r="G1290" s="1">
        <v>45710</v>
      </c>
      <c r="H1290" t="s">
        <v>8</v>
      </c>
      <c r="I1290" t="s">
        <v>3</v>
      </c>
      <c r="J1290">
        <v>5</v>
      </c>
      <c r="K1290" t="s">
        <v>4</v>
      </c>
      <c r="L1290" t="s">
        <v>934</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1374</v>
      </c>
      <c r="B1291" t="s">
        <v>29</v>
      </c>
      <c r="C1291">
        <v>1</v>
      </c>
      <c r="D1291">
        <v>49</v>
      </c>
      <c r="E1291">
        <v>49</v>
      </c>
      <c r="F1291" s="1">
        <v>45707</v>
      </c>
      <c r="G1291" s="1">
        <v>45708</v>
      </c>
      <c r="H1291" t="s">
        <v>8</v>
      </c>
      <c r="I1291" t="s">
        <v>20</v>
      </c>
      <c r="J1291">
        <v>4</v>
      </c>
      <c r="K1291" t="s">
        <v>4</v>
      </c>
      <c r="L1291" t="s">
        <v>18</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1375</v>
      </c>
      <c r="B1292" t="s">
        <v>29</v>
      </c>
      <c r="C1292">
        <v>6</v>
      </c>
      <c r="D1292">
        <v>21.1</v>
      </c>
      <c r="E1292">
        <v>126.60000000000001</v>
      </c>
      <c r="F1292" s="1">
        <v>45707</v>
      </c>
      <c r="G1292" s="1">
        <v>45714</v>
      </c>
      <c r="H1292" t="s">
        <v>8</v>
      </c>
      <c r="I1292" t="s">
        <v>3</v>
      </c>
      <c r="J1292">
        <v>5</v>
      </c>
      <c r="K1292" t="s">
        <v>4</v>
      </c>
      <c r="L1292" t="s">
        <v>18</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1376</v>
      </c>
      <c r="B1293" t="s">
        <v>17</v>
      </c>
      <c r="C1293">
        <v>19</v>
      </c>
      <c r="D1293">
        <v>36.9</v>
      </c>
      <c r="E1293">
        <v>701.1</v>
      </c>
      <c r="F1293" s="1">
        <v>45707</v>
      </c>
      <c r="G1293" s="1">
        <v>45707</v>
      </c>
      <c r="H1293" t="s">
        <v>12</v>
      </c>
      <c r="I1293" t="s">
        <v>3</v>
      </c>
      <c r="J1293">
        <v>4</v>
      </c>
      <c r="K1293" t="s">
        <v>4</v>
      </c>
      <c r="L1293" t="s">
        <v>18</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1377</v>
      </c>
      <c r="B1294" t="s">
        <v>7</v>
      </c>
      <c r="C1294">
        <v>10</v>
      </c>
      <c r="D1294">
        <v>92.6</v>
      </c>
      <c r="E1294">
        <v>926</v>
      </c>
      <c r="F1294" s="1">
        <v>45707</v>
      </c>
      <c r="G1294" s="1">
        <v>45712</v>
      </c>
      <c r="H1294" t="s">
        <v>8</v>
      </c>
      <c r="I1294" t="s">
        <v>55</v>
      </c>
      <c r="J1294">
        <v>5</v>
      </c>
      <c r="K1294" t="s">
        <v>4</v>
      </c>
      <c r="L1294" t="s">
        <v>18</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1378</v>
      </c>
      <c r="B1295" t="s">
        <v>39</v>
      </c>
      <c r="C1295">
        <v>2</v>
      </c>
      <c r="D1295">
        <v>38</v>
      </c>
      <c r="E1295">
        <v>76</v>
      </c>
      <c r="F1295" s="1">
        <v>45707</v>
      </c>
      <c r="G1295" s="1">
        <v>45708</v>
      </c>
      <c r="H1295" t="s">
        <v>8</v>
      </c>
      <c r="I1295" t="s">
        <v>20</v>
      </c>
      <c r="J1295">
        <v>3</v>
      </c>
      <c r="K1295" t="s">
        <v>4</v>
      </c>
      <c r="L1295" t="s">
        <v>18</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1379</v>
      </c>
      <c r="B1296" t="s">
        <v>22</v>
      </c>
      <c r="C1296">
        <v>3</v>
      </c>
      <c r="D1296">
        <v>54.8</v>
      </c>
      <c r="E1296">
        <v>164.39999999999998</v>
      </c>
      <c r="F1296" s="1">
        <v>45707</v>
      </c>
      <c r="G1296" s="1">
        <v>45711</v>
      </c>
      <c r="H1296" t="s">
        <v>2</v>
      </c>
      <c r="I1296" t="s">
        <v>3</v>
      </c>
      <c r="J1296">
        <v>3</v>
      </c>
      <c r="K1296" t="s">
        <v>4</v>
      </c>
      <c r="L1296" t="s">
        <v>18</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1380</v>
      </c>
      <c r="B1297" t="s">
        <v>39</v>
      </c>
      <c r="C1297">
        <v>12</v>
      </c>
      <c r="D1297">
        <v>56.8</v>
      </c>
      <c r="E1297">
        <v>681.59999999999991</v>
      </c>
      <c r="F1297" s="1">
        <v>45707</v>
      </c>
      <c r="G1297" s="1">
        <v>45709</v>
      </c>
      <c r="H1297" t="s">
        <v>8</v>
      </c>
      <c r="I1297" t="s">
        <v>20</v>
      </c>
      <c r="J1297">
        <v>4</v>
      </c>
      <c r="K1297" t="s">
        <v>4</v>
      </c>
      <c r="L1297" t="s">
        <v>18</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1381</v>
      </c>
      <c r="B1298" t="s">
        <v>52</v>
      </c>
      <c r="C1298">
        <v>33</v>
      </c>
      <c r="D1298">
        <v>47.2</v>
      </c>
      <c r="E1298">
        <v>1557.6000000000001</v>
      </c>
      <c r="F1298" s="1">
        <v>45707</v>
      </c>
      <c r="G1298" s="1">
        <v>45710</v>
      </c>
      <c r="H1298" t="s">
        <v>12</v>
      </c>
      <c r="I1298" t="s">
        <v>20</v>
      </c>
      <c r="J1298">
        <v>4</v>
      </c>
      <c r="K1298" t="s">
        <v>4</v>
      </c>
      <c r="L1298" t="s">
        <v>18</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1382</v>
      </c>
      <c r="B1299" t="s">
        <v>27</v>
      </c>
      <c r="C1299">
        <v>6</v>
      </c>
      <c r="D1299">
        <v>45.1</v>
      </c>
      <c r="E1299">
        <v>270.60000000000002</v>
      </c>
      <c r="F1299" s="1">
        <v>45707</v>
      </c>
      <c r="G1299" s="1">
        <v>45708</v>
      </c>
      <c r="H1299" t="s">
        <v>12</v>
      </c>
      <c r="I1299" t="s">
        <v>25</v>
      </c>
      <c r="J1299">
        <v>4</v>
      </c>
      <c r="K1299" t="s">
        <v>4</v>
      </c>
      <c r="L1299" t="s">
        <v>530</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1383</v>
      </c>
      <c r="B1300" t="s">
        <v>17</v>
      </c>
      <c r="C1300">
        <v>12</v>
      </c>
      <c r="D1300">
        <v>25.2</v>
      </c>
      <c r="E1300">
        <v>302.39999999999998</v>
      </c>
      <c r="F1300" s="1">
        <v>45707</v>
      </c>
      <c r="G1300" s="1">
        <v>45712</v>
      </c>
      <c r="H1300" t="s">
        <v>12</v>
      </c>
      <c r="I1300" t="s">
        <v>25</v>
      </c>
      <c r="J1300">
        <v>4</v>
      </c>
      <c r="K1300" t="s">
        <v>4</v>
      </c>
      <c r="L1300" t="s">
        <v>83</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1384</v>
      </c>
      <c r="B1301" t="s">
        <v>29</v>
      </c>
      <c r="C1301">
        <v>1</v>
      </c>
      <c r="D1301">
        <v>22</v>
      </c>
      <c r="E1301">
        <v>22</v>
      </c>
      <c r="F1301" s="1">
        <v>45707</v>
      </c>
      <c r="G1301" s="1">
        <v>45708</v>
      </c>
      <c r="H1301" t="s">
        <v>12</v>
      </c>
      <c r="I1301" t="s">
        <v>3</v>
      </c>
      <c r="J1301">
        <v>4</v>
      </c>
      <c r="K1301" t="s">
        <v>4</v>
      </c>
      <c r="L1301" t="s">
        <v>37</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1385</v>
      </c>
      <c r="B1302" t="s">
        <v>24</v>
      </c>
      <c r="C1302">
        <v>2</v>
      </c>
      <c r="D1302">
        <v>42.2</v>
      </c>
      <c r="E1302">
        <v>84.4</v>
      </c>
      <c r="F1302" s="1">
        <v>45707</v>
      </c>
      <c r="G1302" s="1">
        <v>45708</v>
      </c>
      <c r="H1302" t="s">
        <v>12</v>
      </c>
      <c r="I1302" t="s">
        <v>20</v>
      </c>
      <c r="J1302">
        <v>3</v>
      </c>
      <c r="K1302" t="s">
        <v>4</v>
      </c>
      <c r="L1302" t="s">
        <v>143</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1386</v>
      </c>
      <c r="B1303" t="s">
        <v>61</v>
      </c>
      <c r="C1303">
        <v>3</v>
      </c>
      <c r="D1303">
        <v>20.5</v>
      </c>
      <c r="E1303">
        <v>61.5</v>
      </c>
      <c r="F1303" s="1">
        <v>45707</v>
      </c>
      <c r="G1303" s="1">
        <v>45708</v>
      </c>
      <c r="H1303" t="s">
        <v>8</v>
      </c>
      <c r="I1303" t="s">
        <v>3</v>
      </c>
      <c r="J1303">
        <v>3</v>
      </c>
      <c r="K1303" t="s">
        <v>4</v>
      </c>
      <c r="L1303" t="s">
        <v>40</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1387</v>
      </c>
      <c r="B1304" t="s">
        <v>11</v>
      </c>
      <c r="C1304">
        <v>1</v>
      </c>
      <c r="D1304">
        <v>190.4</v>
      </c>
      <c r="E1304">
        <v>190.4</v>
      </c>
      <c r="F1304" s="1">
        <v>45707</v>
      </c>
      <c r="G1304" s="1">
        <v>45712</v>
      </c>
      <c r="H1304" t="s">
        <v>8</v>
      </c>
      <c r="I1304" t="s">
        <v>20</v>
      </c>
      <c r="J1304">
        <v>2</v>
      </c>
      <c r="K1304" t="s">
        <v>4</v>
      </c>
      <c r="L1304" t="s">
        <v>40</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1388</v>
      </c>
      <c r="B1305" t="s">
        <v>11</v>
      </c>
      <c r="C1305">
        <v>1</v>
      </c>
      <c r="D1305">
        <v>121.9</v>
      </c>
      <c r="E1305">
        <v>121.9</v>
      </c>
      <c r="F1305" s="1">
        <v>45707</v>
      </c>
      <c r="G1305" s="1">
        <v>45709</v>
      </c>
      <c r="H1305" t="s">
        <v>12</v>
      </c>
      <c r="I1305" t="s">
        <v>20</v>
      </c>
      <c r="J1305">
        <v>5</v>
      </c>
      <c r="K1305" t="s">
        <v>4</v>
      </c>
      <c r="L1305" t="s">
        <v>40</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1389</v>
      </c>
      <c r="B1306" t="s">
        <v>11</v>
      </c>
      <c r="C1306">
        <v>6</v>
      </c>
      <c r="D1306">
        <v>149.19999999999999</v>
      </c>
      <c r="E1306">
        <v>895.19999999999993</v>
      </c>
      <c r="F1306" s="1">
        <v>45707</v>
      </c>
      <c r="G1306" s="1">
        <v>45708</v>
      </c>
      <c r="H1306" t="s">
        <v>12</v>
      </c>
      <c r="I1306" t="s">
        <v>25</v>
      </c>
      <c r="J1306">
        <v>5</v>
      </c>
      <c r="K1306" t="s">
        <v>4</v>
      </c>
      <c r="L1306" t="s">
        <v>44</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1390</v>
      </c>
      <c r="B1307" t="s">
        <v>11</v>
      </c>
      <c r="C1307">
        <v>1</v>
      </c>
      <c r="D1307">
        <v>54.1</v>
      </c>
      <c r="E1307">
        <v>54.1</v>
      </c>
      <c r="F1307" s="1">
        <v>45707</v>
      </c>
      <c r="G1307" s="1">
        <v>45716</v>
      </c>
      <c r="H1307" t="s">
        <v>12</v>
      </c>
      <c r="I1307" t="s">
        <v>25</v>
      </c>
      <c r="J1307">
        <v>5</v>
      </c>
      <c r="K1307" t="s">
        <v>4</v>
      </c>
      <c r="L1307" t="s">
        <v>44</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1391</v>
      </c>
      <c r="B1308" t="s">
        <v>22</v>
      </c>
      <c r="C1308">
        <v>2</v>
      </c>
      <c r="D1308">
        <v>27.4</v>
      </c>
      <c r="E1308">
        <v>54.8</v>
      </c>
      <c r="F1308" s="1">
        <v>45707</v>
      </c>
      <c r="G1308" s="1">
        <v>45709</v>
      </c>
      <c r="H1308" t="s">
        <v>8</v>
      </c>
      <c r="I1308" t="s">
        <v>20</v>
      </c>
      <c r="J1308">
        <v>4</v>
      </c>
      <c r="K1308" t="s">
        <v>4</v>
      </c>
      <c r="L1308" t="s">
        <v>47</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1392</v>
      </c>
      <c r="B1309" t="s">
        <v>1</v>
      </c>
      <c r="C1309">
        <v>13</v>
      </c>
      <c r="D1309">
        <v>30.4</v>
      </c>
      <c r="E1309">
        <v>395.2</v>
      </c>
      <c r="F1309" s="1">
        <v>45707</v>
      </c>
      <c r="G1309" s="1">
        <v>45708</v>
      </c>
      <c r="H1309" t="s">
        <v>12</v>
      </c>
      <c r="I1309" t="s">
        <v>3</v>
      </c>
      <c r="J1309">
        <v>5</v>
      </c>
      <c r="K1309" t="s">
        <v>4</v>
      </c>
      <c r="L1309" t="s">
        <v>47</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1393</v>
      </c>
      <c r="B1310" t="s">
        <v>54</v>
      </c>
      <c r="C1310">
        <v>3</v>
      </c>
      <c r="D1310">
        <v>46.2</v>
      </c>
      <c r="E1310">
        <v>138.60000000000002</v>
      </c>
      <c r="F1310" s="1">
        <v>45707</v>
      </c>
      <c r="G1310" s="1">
        <v>45709</v>
      </c>
      <c r="H1310" t="s">
        <v>8</v>
      </c>
      <c r="I1310" t="s">
        <v>25</v>
      </c>
      <c r="J1310">
        <v>3</v>
      </c>
      <c r="K1310" t="s">
        <v>4</v>
      </c>
      <c r="L1310" t="s">
        <v>88</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1394</v>
      </c>
      <c r="B1311" t="s">
        <v>27</v>
      </c>
      <c r="C1311">
        <v>8</v>
      </c>
      <c r="D1311">
        <v>78.599999999999994</v>
      </c>
      <c r="E1311">
        <v>628.79999999999995</v>
      </c>
      <c r="F1311" s="1">
        <v>45707</v>
      </c>
      <c r="G1311" s="1">
        <v>45711</v>
      </c>
      <c r="H1311" t="s">
        <v>8</v>
      </c>
      <c r="I1311" t="s">
        <v>36</v>
      </c>
      <c r="J1311">
        <v>4</v>
      </c>
      <c r="K1311" t="s">
        <v>4</v>
      </c>
      <c r="L1311" t="s">
        <v>88</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1395</v>
      </c>
      <c r="B1312" t="s">
        <v>120</v>
      </c>
      <c r="C1312">
        <v>10</v>
      </c>
      <c r="D1312">
        <v>25.9</v>
      </c>
      <c r="E1312">
        <v>259</v>
      </c>
      <c r="F1312" s="1">
        <v>45707</v>
      </c>
      <c r="G1312" s="1">
        <v>45713</v>
      </c>
      <c r="H1312" t="s">
        <v>8</v>
      </c>
      <c r="I1312" t="s">
        <v>55</v>
      </c>
      <c r="J1312">
        <v>4</v>
      </c>
      <c r="K1312" t="s">
        <v>4</v>
      </c>
      <c r="L1312" t="s">
        <v>57</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1396</v>
      </c>
      <c r="B1313" t="s">
        <v>24</v>
      </c>
      <c r="C1313">
        <v>1</v>
      </c>
      <c r="D1313">
        <v>134.80000000000001</v>
      </c>
      <c r="E1313">
        <v>134.80000000000001</v>
      </c>
      <c r="F1313" s="1">
        <v>45707</v>
      </c>
      <c r="G1313" s="1">
        <v>45709</v>
      </c>
      <c r="H1313" t="s">
        <v>8</v>
      </c>
      <c r="I1313" t="s">
        <v>25</v>
      </c>
      <c r="J1313">
        <v>5</v>
      </c>
      <c r="K1313" t="s">
        <v>4</v>
      </c>
      <c r="L1313" t="s">
        <v>57</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1397</v>
      </c>
      <c r="B1314" t="s">
        <v>108</v>
      </c>
      <c r="C1314">
        <v>5</v>
      </c>
      <c r="D1314">
        <v>43.1</v>
      </c>
      <c r="E1314">
        <v>215.5</v>
      </c>
      <c r="F1314" s="1">
        <v>45707</v>
      </c>
      <c r="G1314" s="1">
        <v>45709</v>
      </c>
      <c r="H1314" t="s">
        <v>12</v>
      </c>
      <c r="I1314" t="s">
        <v>3</v>
      </c>
      <c r="J1314">
        <v>4</v>
      </c>
      <c r="K1314" t="s">
        <v>4</v>
      </c>
      <c r="L1314" t="s">
        <v>62</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1398</v>
      </c>
      <c r="B1315" t="s">
        <v>11</v>
      </c>
      <c r="C1315">
        <v>2</v>
      </c>
      <c r="D1315">
        <v>215.6</v>
      </c>
      <c r="E1315">
        <v>431.2</v>
      </c>
      <c r="F1315" s="1">
        <v>45707</v>
      </c>
      <c r="G1315" s="1">
        <v>45708</v>
      </c>
      <c r="H1315" t="s">
        <v>12</v>
      </c>
      <c r="I1315" t="s">
        <v>25</v>
      </c>
      <c r="J1315">
        <v>4</v>
      </c>
      <c r="K1315" t="s">
        <v>4</v>
      </c>
      <c r="L1315" t="s">
        <v>93</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1399</v>
      </c>
      <c r="B1316" t="s">
        <v>24</v>
      </c>
      <c r="C1316">
        <v>2</v>
      </c>
      <c r="D1316">
        <v>80.7</v>
      </c>
      <c r="E1316">
        <v>161.4</v>
      </c>
      <c r="F1316" s="1">
        <v>45707</v>
      </c>
      <c r="G1316" s="1">
        <v>45710</v>
      </c>
      <c r="H1316" t="s">
        <v>12</v>
      </c>
      <c r="I1316" t="s">
        <v>36</v>
      </c>
      <c r="J1316">
        <v>4</v>
      </c>
      <c r="K1316" t="s">
        <v>4</v>
      </c>
      <c r="L1316" t="s">
        <v>93</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1400</v>
      </c>
      <c r="B1317" t="s">
        <v>39</v>
      </c>
      <c r="C1317">
        <v>7</v>
      </c>
      <c r="D1317">
        <v>20.6</v>
      </c>
      <c r="E1317">
        <v>144.20000000000002</v>
      </c>
      <c r="F1317" s="1">
        <v>45707</v>
      </c>
      <c r="G1317" s="1">
        <v>45712</v>
      </c>
      <c r="H1317" t="s">
        <v>2</v>
      </c>
      <c r="I1317" t="s">
        <v>25</v>
      </c>
      <c r="J1317">
        <v>3</v>
      </c>
      <c r="K1317" t="s">
        <v>4</v>
      </c>
      <c r="L1317" t="s">
        <v>95</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1401</v>
      </c>
      <c r="B1318" t="s">
        <v>54</v>
      </c>
      <c r="C1318">
        <v>3</v>
      </c>
      <c r="D1318">
        <v>37.1</v>
      </c>
      <c r="E1318">
        <v>111.30000000000001</v>
      </c>
      <c r="F1318" s="1">
        <v>45707</v>
      </c>
      <c r="G1318" s="1">
        <v>45708</v>
      </c>
      <c r="H1318" t="s">
        <v>12</v>
      </c>
      <c r="I1318" t="s">
        <v>3</v>
      </c>
      <c r="J1318">
        <v>4</v>
      </c>
      <c r="K1318" t="s">
        <v>4</v>
      </c>
      <c r="L1318" t="s">
        <v>982</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1402</v>
      </c>
      <c r="B1319" t="s">
        <v>54</v>
      </c>
      <c r="C1319">
        <v>1</v>
      </c>
      <c r="D1319">
        <v>104.8</v>
      </c>
      <c r="E1319">
        <v>104.8</v>
      </c>
      <c r="F1319" s="1">
        <v>45708</v>
      </c>
      <c r="G1319" s="1">
        <v>45710</v>
      </c>
      <c r="H1319" t="s">
        <v>12</v>
      </c>
      <c r="I1319" t="s">
        <v>3</v>
      </c>
      <c r="J1319">
        <v>4</v>
      </c>
      <c r="K1319" t="s">
        <v>4</v>
      </c>
      <c r="L1319" t="s">
        <v>67</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1403</v>
      </c>
      <c r="B1320" t="s">
        <v>29</v>
      </c>
      <c r="C1320">
        <v>2</v>
      </c>
      <c r="D1320">
        <v>59</v>
      </c>
      <c r="E1320">
        <v>118</v>
      </c>
      <c r="F1320" s="1">
        <v>45708</v>
      </c>
      <c r="G1320" s="1">
        <v>45709</v>
      </c>
      <c r="H1320" t="s">
        <v>8</v>
      </c>
      <c r="I1320" t="s">
        <v>20</v>
      </c>
      <c r="J1320">
        <v>4</v>
      </c>
      <c r="K1320" t="s">
        <v>4</v>
      </c>
      <c r="L1320" t="s">
        <v>100</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1404</v>
      </c>
      <c r="B1321" t="s">
        <v>29</v>
      </c>
      <c r="C1321">
        <v>2</v>
      </c>
      <c r="D1321">
        <v>32.299999999999997</v>
      </c>
      <c r="E1321">
        <v>64.599999999999994</v>
      </c>
      <c r="F1321" s="1">
        <v>45708</v>
      </c>
      <c r="G1321" s="1">
        <v>45709</v>
      </c>
      <c r="H1321" t="s">
        <v>8</v>
      </c>
      <c r="I1321" t="s">
        <v>3</v>
      </c>
      <c r="J1321">
        <v>5</v>
      </c>
      <c r="K1321" t="s">
        <v>4</v>
      </c>
      <c r="L1321" t="s">
        <v>100</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1405</v>
      </c>
      <c r="B1322" t="s">
        <v>29</v>
      </c>
      <c r="C1322">
        <v>4</v>
      </c>
      <c r="D1322">
        <v>28.9</v>
      </c>
      <c r="E1322">
        <v>115.6</v>
      </c>
      <c r="F1322" s="1">
        <v>45708</v>
      </c>
      <c r="G1322" s="1">
        <v>45715</v>
      </c>
      <c r="H1322" t="s">
        <v>8</v>
      </c>
      <c r="I1322" t="s">
        <v>3</v>
      </c>
      <c r="J1322">
        <v>4</v>
      </c>
      <c r="K1322" t="s">
        <v>4</v>
      </c>
      <c r="L1322" t="s">
        <v>9</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1406</v>
      </c>
      <c r="B1323" t="s">
        <v>1</v>
      </c>
      <c r="C1323">
        <v>2</v>
      </c>
      <c r="D1323">
        <v>29.6</v>
      </c>
      <c r="E1323">
        <v>59.2</v>
      </c>
      <c r="F1323" s="1">
        <v>45708</v>
      </c>
      <c r="G1323" s="1">
        <v>45710</v>
      </c>
      <c r="H1323" t="s">
        <v>8</v>
      </c>
      <c r="I1323" t="s">
        <v>3</v>
      </c>
      <c r="J1323">
        <v>4</v>
      </c>
      <c r="K1323" t="s">
        <v>4</v>
      </c>
      <c r="L1323" t="s">
        <v>9</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1407</v>
      </c>
      <c r="B1324" t="s">
        <v>1</v>
      </c>
      <c r="C1324">
        <v>5</v>
      </c>
      <c r="D1324">
        <v>29.4</v>
      </c>
      <c r="E1324">
        <v>147</v>
      </c>
      <c r="F1324" s="1">
        <v>45708</v>
      </c>
      <c r="G1324" s="1">
        <v>45711</v>
      </c>
      <c r="H1324" t="s">
        <v>12</v>
      </c>
      <c r="I1324" t="s">
        <v>3</v>
      </c>
      <c r="J1324">
        <v>4</v>
      </c>
      <c r="K1324" t="s">
        <v>4</v>
      </c>
      <c r="L1324" t="s">
        <v>9</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1408</v>
      </c>
      <c r="B1325" t="s">
        <v>7</v>
      </c>
      <c r="C1325">
        <v>2</v>
      </c>
      <c r="D1325">
        <v>40.6</v>
      </c>
      <c r="E1325">
        <v>81.2</v>
      </c>
      <c r="F1325" s="1">
        <v>45708</v>
      </c>
      <c r="G1325" s="1">
        <v>45709</v>
      </c>
      <c r="H1325" t="s">
        <v>8</v>
      </c>
      <c r="I1325" t="s">
        <v>3</v>
      </c>
      <c r="J1325">
        <v>2</v>
      </c>
      <c r="K1325" t="s">
        <v>4</v>
      </c>
      <c r="L1325" t="s">
        <v>13</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1409</v>
      </c>
      <c r="B1326" t="s">
        <v>1</v>
      </c>
      <c r="C1326">
        <v>3</v>
      </c>
      <c r="D1326">
        <v>32.5</v>
      </c>
      <c r="E1326">
        <v>97.5</v>
      </c>
      <c r="F1326" s="1">
        <v>45708</v>
      </c>
      <c r="G1326" s="1">
        <v>45709</v>
      </c>
      <c r="H1326" t="s">
        <v>8</v>
      </c>
      <c r="I1326" t="s">
        <v>36</v>
      </c>
      <c r="J1326">
        <v>5</v>
      </c>
      <c r="K1326" t="s">
        <v>4</v>
      </c>
      <c r="L1326" t="s">
        <v>132</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1410</v>
      </c>
      <c r="B1327" t="s">
        <v>108</v>
      </c>
      <c r="C1327">
        <v>1</v>
      </c>
      <c r="D1327">
        <v>26.2</v>
      </c>
      <c r="E1327">
        <v>26.2</v>
      </c>
      <c r="F1327" s="1">
        <v>45708</v>
      </c>
      <c r="G1327" s="1">
        <v>45710</v>
      </c>
      <c r="H1327" t="s">
        <v>8</v>
      </c>
      <c r="I1327" t="s">
        <v>25</v>
      </c>
      <c r="J1327">
        <v>4</v>
      </c>
      <c r="K1327" t="s">
        <v>4</v>
      </c>
      <c r="L1327" t="s">
        <v>1411</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1412</v>
      </c>
      <c r="B1328" t="s">
        <v>39</v>
      </c>
      <c r="C1328">
        <v>30</v>
      </c>
      <c r="D1328">
        <v>44</v>
      </c>
      <c r="E1328">
        <v>1320</v>
      </c>
      <c r="F1328" s="1">
        <v>45708</v>
      </c>
      <c r="G1328" s="1">
        <v>45714</v>
      </c>
      <c r="H1328" t="s">
        <v>8</v>
      </c>
      <c r="I1328" t="s">
        <v>55</v>
      </c>
      <c r="J1328">
        <v>4</v>
      </c>
      <c r="K1328" t="s">
        <v>4</v>
      </c>
      <c r="L1328" t="s">
        <v>18</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1413</v>
      </c>
      <c r="B1329" t="s">
        <v>27</v>
      </c>
      <c r="C1329">
        <v>4</v>
      </c>
      <c r="D1329">
        <v>65.599999999999994</v>
      </c>
      <c r="E1329">
        <v>262.39999999999998</v>
      </c>
      <c r="F1329" s="1">
        <v>45708</v>
      </c>
      <c r="G1329" s="1">
        <v>45709</v>
      </c>
      <c r="H1329" t="s">
        <v>12</v>
      </c>
      <c r="I1329" t="s">
        <v>20</v>
      </c>
      <c r="J1329">
        <v>3</v>
      </c>
      <c r="K1329" t="s">
        <v>4</v>
      </c>
      <c r="L1329" t="s">
        <v>18</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1414</v>
      </c>
      <c r="B1330" t="s">
        <v>22</v>
      </c>
      <c r="C1330">
        <v>12</v>
      </c>
      <c r="D1330">
        <v>32.6</v>
      </c>
      <c r="E1330">
        <v>391.20000000000005</v>
      </c>
      <c r="F1330" s="1">
        <v>45708</v>
      </c>
      <c r="G1330" s="1">
        <v>45709</v>
      </c>
      <c r="H1330" t="s">
        <v>8</v>
      </c>
      <c r="I1330" t="s">
        <v>55</v>
      </c>
      <c r="J1330">
        <v>4</v>
      </c>
      <c r="K1330" t="s">
        <v>4</v>
      </c>
      <c r="L1330" t="s">
        <v>18</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1415</v>
      </c>
      <c r="B1331" t="s">
        <v>113</v>
      </c>
      <c r="C1331">
        <v>2</v>
      </c>
      <c r="D1331">
        <v>88.7</v>
      </c>
      <c r="E1331">
        <v>177.4</v>
      </c>
      <c r="F1331" s="1">
        <v>45708</v>
      </c>
      <c r="G1331" s="1">
        <v>45709</v>
      </c>
      <c r="H1331" t="s">
        <v>2</v>
      </c>
      <c r="I1331" t="s">
        <v>36</v>
      </c>
      <c r="J1331">
        <v>5</v>
      </c>
      <c r="K1331" t="s">
        <v>4</v>
      </c>
      <c r="L1331" t="s">
        <v>18</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1416</v>
      </c>
      <c r="B1332" t="s">
        <v>17</v>
      </c>
      <c r="C1332">
        <v>2</v>
      </c>
      <c r="D1332">
        <v>21.3</v>
      </c>
      <c r="E1332">
        <v>42.6</v>
      </c>
      <c r="F1332" s="1">
        <v>45708</v>
      </c>
      <c r="G1332" s="1">
        <v>45709</v>
      </c>
      <c r="H1332" t="s">
        <v>8</v>
      </c>
      <c r="I1332" t="s">
        <v>3</v>
      </c>
      <c r="J1332">
        <v>4</v>
      </c>
      <c r="K1332" t="s">
        <v>4</v>
      </c>
      <c r="L1332" t="s">
        <v>18</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1417</v>
      </c>
      <c r="B1333" t="s">
        <v>17</v>
      </c>
      <c r="C1333">
        <v>6</v>
      </c>
      <c r="D1333">
        <v>50.6</v>
      </c>
      <c r="E1333">
        <v>303.60000000000002</v>
      </c>
      <c r="F1333" s="1">
        <v>45708</v>
      </c>
      <c r="G1333" s="1">
        <v>45712</v>
      </c>
      <c r="H1333" t="s">
        <v>12</v>
      </c>
      <c r="I1333" t="s">
        <v>25</v>
      </c>
      <c r="J1333">
        <v>4</v>
      </c>
      <c r="K1333" t="s">
        <v>4</v>
      </c>
      <c r="L1333" t="s">
        <v>18</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1418</v>
      </c>
      <c r="B1334" t="s">
        <v>31</v>
      </c>
      <c r="C1334">
        <v>21</v>
      </c>
      <c r="D1334">
        <v>86.9</v>
      </c>
      <c r="E1334">
        <v>1824.9</v>
      </c>
      <c r="F1334" s="1">
        <v>45708</v>
      </c>
      <c r="G1334" s="1">
        <v>45711</v>
      </c>
      <c r="H1334" t="s">
        <v>12</v>
      </c>
      <c r="I1334" t="s">
        <v>3</v>
      </c>
      <c r="J1334">
        <v>3</v>
      </c>
      <c r="K1334" t="s">
        <v>4</v>
      </c>
      <c r="L1334" t="s">
        <v>18</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1419</v>
      </c>
      <c r="B1335" t="s">
        <v>52</v>
      </c>
      <c r="C1335">
        <v>3</v>
      </c>
      <c r="D1335">
        <v>31.8</v>
      </c>
      <c r="E1335">
        <v>95.4</v>
      </c>
      <c r="F1335" s="1">
        <v>45708</v>
      </c>
      <c r="G1335" s="1">
        <v>45710</v>
      </c>
      <c r="H1335" t="s">
        <v>8</v>
      </c>
      <c r="I1335" t="s">
        <v>3</v>
      </c>
      <c r="J1335">
        <v>5</v>
      </c>
      <c r="K1335" t="s">
        <v>4</v>
      </c>
      <c r="L1335" t="s">
        <v>18</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1420</v>
      </c>
      <c r="B1336" t="s">
        <v>29</v>
      </c>
      <c r="C1336">
        <v>1</v>
      </c>
      <c r="D1336">
        <v>19</v>
      </c>
      <c r="E1336">
        <v>19</v>
      </c>
      <c r="F1336" s="1">
        <v>45708</v>
      </c>
      <c r="G1336" s="1">
        <v>45709</v>
      </c>
      <c r="H1336" t="s">
        <v>12</v>
      </c>
      <c r="I1336" t="s">
        <v>3</v>
      </c>
      <c r="J1336">
        <v>5</v>
      </c>
      <c r="K1336" t="s">
        <v>4</v>
      </c>
      <c r="L1336" t="s">
        <v>18</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1421</v>
      </c>
      <c r="B1337" t="s">
        <v>22</v>
      </c>
      <c r="C1337">
        <v>1</v>
      </c>
      <c r="D1337">
        <v>54.5</v>
      </c>
      <c r="E1337">
        <v>54.5</v>
      </c>
      <c r="F1337" s="1">
        <v>45708</v>
      </c>
      <c r="G1337" s="1">
        <v>45710</v>
      </c>
      <c r="H1337" t="s">
        <v>8</v>
      </c>
      <c r="I1337" t="s">
        <v>3</v>
      </c>
      <c r="J1337">
        <v>4</v>
      </c>
      <c r="K1337" t="s">
        <v>4</v>
      </c>
      <c r="L1337" t="s">
        <v>18</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1422</v>
      </c>
      <c r="B1338" t="s">
        <v>31</v>
      </c>
      <c r="C1338">
        <v>5</v>
      </c>
      <c r="D1338">
        <v>68.900000000000006</v>
      </c>
      <c r="E1338">
        <v>344.5</v>
      </c>
      <c r="F1338" s="1">
        <v>45708</v>
      </c>
      <c r="G1338" s="1">
        <v>45710</v>
      </c>
      <c r="H1338" t="s">
        <v>8</v>
      </c>
      <c r="I1338" t="s">
        <v>55</v>
      </c>
      <c r="J1338">
        <v>3</v>
      </c>
      <c r="K1338" t="s">
        <v>4</v>
      </c>
      <c r="L1338" t="s">
        <v>18</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1423</v>
      </c>
      <c r="B1339" t="s">
        <v>24</v>
      </c>
      <c r="C1339">
        <v>3</v>
      </c>
      <c r="D1339">
        <v>84</v>
      </c>
      <c r="E1339">
        <v>252</v>
      </c>
      <c r="F1339" s="1">
        <v>45708</v>
      </c>
      <c r="G1339" s="1">
        <v>45709</v>
      </c>
      <c r="H1339" t="s">
        <v>8</v>
      </c>
      <c r="I1339" t="s">
        <v>20</v>
      </c>
      <c r="J1339">
        <v>2</v>
      </c>
      <c r="K1339" t="s">
        <v>4</v>
      </c>
      <c r="L1339" t="s">
        <v>83</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1424</v>
      </c>
      <c r="B1340" t="s">
        <v>108</v>
      </c>
      <c r="C1340">
        <v>8</v>
      </c>
      <c r="D1340">
        <v>23.1</v>
      </c>
      <c r="E1340">
        <v>184.8</v>
      </c>
      <c r="F1340" s="1">
        <v>45708</v>
      </c>
      <c r="G1340" s="1">
        <v>45713</v>
      </c>
      <c r="H1340" t="s">
        <v>8</v>
      </c>
      <c r="I1340" t="s">
        <v>3</v>
      </c>
      <c r="J1340">
        <v>5</v>
      </c>
      <c r="K1340" t="s">
        <v>4</v>
      </c>
      <c r="L1340" t="s">
        <v>143</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1425</v>
      </c>
      <c r="B1341" t="s">
        <v>27</v>
      </c>
      <c r="C1341">
        <v>2</v>
      </c>
      <c r="D1341">
        <v>62.4</v>
      </c>
      <c r="E1341">
        <v>124.8</v>
      </c>
      <c r="F1341" s="1">
        <v>45708</v>
      </c>
      <c r="G1341" s="1">
        <v>45709</v>
      </c>
      <c r="H1341" t="s">
        <v>12</v>
      </c>
      <c r="I1341" t="s">
        <v>3</v>
      </c>
      <c r="J1341">
        <v>3</v>
      </c>
      <c r="K1341" t="s">
        <v>4</v>
      </c>
      <c r="L1341" t="s">
        <v>40</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1426</v>
      </c>
      <c r="B1342" t="s">
        <v>24</v>
      </c>
      <c r="C1342">
        <v>12</v>
      </c>
      <c r="D1342">
        <v>40.700000000000003</v>
      </c>
      <c r="E1342">
        <v>488.40000000000003</v>
      </c>
      <c r="F1342" s="1">
        <v>45708</v>
      </c>
      <c r="G1342" s="1">
        <v>45710</v>
      </c>
      <c r="H1342" t="s">
        <v>8</v>
      </c>
      <c r="I1342" t="s">
        <v>20</v>
      </c>
      <c r="J1342">
        <v>5</v>
      </c>
      <c r="K1342" t="s">
        <v>4</v>
      </c>
      <c r="L1342" t="s">
        <v>40</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1427</v>
      </c>
      <c r="B1343" t="s">
        <v>24</v>
      </c>
      <c r="C1343">
        <v>1</v>
      </c>
      <c r="D1343">
        <v>49.6</v>
      </c>
      <c r="E1343">
        <v>49.6</v>
      </c>
      <c r="F1343" s="1">
        <v>45708</v>
      </c>
      <c r="G1343" s="1">
        <v>45711</v>
      </c>
      <c r="H1343" t="s">
        <v>8</v>
      </c>
      <c r="I1343" t="s">
        <v>25</v>
      </c>
      <c r="J1343">
        <v>4</v>
      </c>
      <c r="K1343" t="s">
        <v>4</v>
      </c>
      <c r="L1343" t="s">
        <v>44</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1428</v>
      </c>
      <c r="B1344" t="s">
        <v>27</v>
      </c>
      <c r="C1344">
        <v>45</v>
      </c>
      <c r="D1344">
        <v>66.599999999999994</v>
      </c>
      <c r="E1344">
        <v>2996.9999999999995</v>
      </c>
      <c r="F1344" s="1">
        <v>45708</v>
      </c>
      <c r="G1344" s="1">
        <v>45711</v>
      </c>
      <c r="H1344" t="s">
        <v>8</v>
      </c>
      <c r="I1344" t="s">
        <v>25</v>
      </c>
      <c r="J1344">
        <v>4</v>
      </c>
      <c r="K1344" t="s">
        <v>4</v>
      </c>
      <c r="L1344" t="s">
        <v>47</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1429</v>
      </c>
      <c r="B1345" t="s">
        <v>29</v>
      </c>
      <c r="C1345">
        <v>3</v>
      </c>
      <c r="D1345">
        <v>26.4</v>
      </c>
      <c r="E1345">
        <v>79.199999999999989</v>
      </c>
      <c r="F1345" s="1">
        <v>45708</v>
      </c>
      <c r="G1345" s="1">
        <v>45709</v>
      </c>
      <c r="H1345" t="s">
        <v>12</v>
      </c>
      <c r="I1345" t="s">
        <v>20</v>
      </c>
      <c r="J1345">
        <v>3</v>
      </c>
      <c r="K1345" t="s">
        <v>4</v>
      </c>
      <c r="L1345" t="s">
        <v>47</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1430</v>
      </c>
      <c r="B1346" t="s">
        <v>1</v>
      </c>
      <c r="C1346">
        <v>2</v>
      </c>
      <c r="D1346">
        <v>17.2</v>
      </c>
      <c r="E1346">
        <v>34.4</v>
      </c>
      <c r="F1346" s="1">
        <v>45708</v>
      </c>
      <c r="G1346" s="1">
        <v>45711</v>
      </c>
      <c r="H1346" t="s">
        <v>8</v>
      </c>
      <c r="I1346" t="s">
        <v>25</v>
      </c>
      <c r="J1346">
        <v>3</v>
      </c>
      <c r="K1346" t="s">
        <v>4</v>
      </c>
      <c r="L1346" t="s">
        <v>47</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1431</v>
      </c>
      <c r="B1347" t="s">
        <v>22</v>
      </c>
      <c r="C1347">
        <v>8</v>
      </c>
      <c r="D1347">
        <v>58.1</v>
      </c>
      <c r="E1347">
        <v>464.8</v>
      </c>
      <c r="F1347" s="1">
        <v>45708</v>
      </c>
      <c r="G1347" s="1">
        <v>45711</v>
      </c>
      <c r="H1347" t="s">
        <v>12</v>
      </c>
      <c r="I1347" t="s">
        <v>55</v>
      </c>
      <c r="J1347">
        <v>4</v>
      </c>
      <c r="K1347" t="s">
        <v>4</v>
      </c>
      <c r="L1347" t="s">
        <v>47</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1432</v>
      </c>
      <c r="B1348" t="s">
        <v>108</v>
      </c>
      <c r="C1348">
        <v>4</v>
      </c>
      <c r="D1348">
        <v>31.5</v>
      </c>
      <c r="E1348">
        <v>126</v>
      </c>
      <c r="F1348" s="1">
        <v>45708</v>
      </c>
      <c r="G1348" s="1">
        <v>45711</v>
      </c>
      <c r="H1348" t="s">
        <v>12</v>
      </c>
      <c r="I1348" t="s">
        <v>55</v>
      </c>
      <c r="J1348">
        <v>2</v>
      </c>
      <c r="K1348" t="s">
        <v>4</v>
      </c>
      <c r="L1348" t="s">
        <v>47</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1433</v>
      </c>
      <c r="B1349" t="s">
        <v>1</v>
      </c>
      <c r="C1349">
        <v>1</v>
      </c>
      <c r="D1349">
        <v>27.1</v>
      </c>
      <c r="E1349">
        <v>27.1</v>
      </c>
      <c r="F1349" s="1">
        <v>45708</v>
      </c>
      <c r="G1349" s="1">
        <v>45710</v>
      </c>
      <c r="H1349" t="s">
        <v>12</v>
      </c>
      <c r="I1349" t="s">
        <v>3</v>
      </c>
      <c r="J1349">
        <v>3</v>
      </c>
      <c r="K1349" t="s">
        <v>4</v>
      </c>
      <c r="L1349" t="s">
        <v>88</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1434</v>
      </c>
      <c r="B1350" t="s">
        <v>131</v>
      </c>
      <c r="C1350">
        <v>4</v>
      </c>
      <c r="D1350">
        <v>28.5</v>
      </c>
      <c r="E1350">
        <v>114</v>
      </c>
      <c r="F1350" s="1">
        <v>45708</v>
      </c>
      <c r="G1350" s="1">
        <v>45710</v>
      </c>
      <c r="H1350" t="s">
        <v>8</v>
      </c>
      <c r="I1350" t="s">
        <v>20</v>
      </c>
      <c r="J1350">
        <v>5</v>
      </c>
      <c r="K1350" t="s">
        <v>4</v>
      </c>
      <c r="L1350" t="s">
        <v>57</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1435</v>
      </c>
      <c r="B1351" t="s">
        <v>39</v>
      </c>
      <c r="C1351">
        <v>1</v>
      </c>
      <c r="D1351">
        <v>40.5</v>
      </c>
      <c r="E1351">
        <v>40.5</v>
      </c>
      <c r="F1351" s="1">
        <v>45709</v>
      </c>
      <c r="G1351" s="1">
        <v>45711</v>
      </c>
      <c r="H1351" t="s">
        <v>74</v>
      </c>
      <c r="I1351" t="s">
        <v>25</v>
      </c>
      <c r="J1351">
        <v>4</v>
      </c>
      <c r="K1351" t="s">
        <v>4</v>
      </c>
      <c r="L1351" t="s">
        <v>57</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1436</v>
      </c>
      <c r="B1352" t="s">
        <v>11</v>
      </c>
      <c r="C1352">
        <v>3</v>
      </c>
      <c r="D1352">
        <v>77.900000000000006</v>
      </c>
      <c r="E1352">
        <v>233.70000000000002</v>
      </c>
      <c r="F1352" s="1">
        <v>45709</v>
      </c>
      <c r="G1352" s="1">
        <v>45713</v>
      </c>
      <c r="H1352" t="s">
        <v>12</v>
      </c>
      <c r="I1352" t="s">
        <v>20</v>
      </c>
      <c r="J1352">
        <v>5</v>
      </c>
      <c r="K1352" t="s">
        <v>4</v>
      </c>
      <c r="L1352" t="s">
        <v>95</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1437</v>
      </c>
      <c r="B1353" t="s">
        <v>131</v>
      </c>
      <c r="C1353">
        <v>4</v>
      </c>
      <c r="D1353">
        <v>37.1</v>
      </c>
      <c r="E1353">
        <v>148.4</v>
      </c>
      <c r="F1353" s="1">
        <v>45709</v>
      </c>
      <c r="G1353" s="1">
        <v>45711</v>
      </c>
      <c r="H1353" t="s">
        <v>8</v>
      </c>
      <c r="I1353" t="s">
        <v>55</v>
      </c>
      <c r="J1353">
        <v>5</v>
      </c>
      <c r="K1353" t="s">
        <v>4</v>
      </c>
      <c r="L1353" t="s">
        <v>95</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1438</v>
      </c>
      <c r="B1354" t="s">
        <v>113</v>
      </c>
      <c r="C1354">
        <v>3</v>
      </c>
      <c r="D1354">
        <v>51.6</v>
      </c>
      <c r="E1354">
        <v>154.80000000000001</v>
      </c>
      <c r="F1354" s="1">
        <v>45709</v>
      </c>
      <c r="G1354" s="1">
        <v>45717</v>
      </c>
      <c r="H1354" t="s">
        <v>12</v>
      </c>
      <c r="I1354" t="s">
        <v>3</v>
      </c>
      <c r="J1354">
        <v>2</v>
      </c>
      <c r="K1354" t="s">
        <v>4</v>
      </c>
      <c r="L1354" t="s">
        <v>95</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1439</v>
      </c>
      <c r="B1355" t="s">
        <v>27</v>
      </c>
      <c r="C1355">
        <v>3</v>
      </c>
      <c r="D1355">
        <v>98</v>
      </c>
      <c r="E1355">
        <v>294</v>
      </c>
      <c r="F1355" s="1">
        <v>45709</v>
      </c>
      <c r="G1355" s="1">
        <v>45710</v>
      </c>
      <c r="H1355" t="s">
        <v>8</v>
      </c>
      <c r="I1355" t="s">
        <v>20</v>
      </c>
      <c r="J1355">
        <v>3</v>
      </c>
      <c r="K1355" t="s">
        <v>4</v>
      </c>
      <c r="L1355" t="s">
        <v>95</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1440</v>
      </c>
      <c r="B1356" t="s">
        <v>24</v>
      </c>
      <c r="C1356">
        <v>7</v>
      </c>
      <c r="D1356">
        <v>41.4</v>
      </c>
      <c r="E1356">
        <v>289.8</v>
      </c>
      <c r="F1356" s="1">
        <v>45709</v>
      </c>
      <c r="G1356" s="1">
        <v>45710</v>
      </c>
      <c r="H1356" t="s">
        <v>8</v>
      </c>
      <c r="I1356" t="s">
        <v>20</v>
      </c>
      <c r="J1356">
        <v>4</v>
      </c>
      <c r="K1356" t="s">
        <v>4</v>
      </c>
      <c r="L1356" t="s">
        <v>98</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1441</v>
      </c>
      <c r="B1357" t="s">
        <v>52</v>
      </c>
      <c r="C1357">
        <v>8</v>
      </c>
      <c r="D1357">
        <v>34</v>
      </c>
      <c r="E1357">
        <v>272</v>
      </c>
      <c r="F1357" s="1">
        <v>45709</v>
      </c>
      <c r="G1357" s="1">
        <v>45714</v>
      </c>
      <c r="H1357" t="s">
        <v>12</v>
      </c>
      <c r="I1357" t="s">
        <v>3</v>
      </c>
      <c r="J1357">
        <v>5</v>
      </c>
      <c r="K1357" t="s">
        <v>4</v>
      </c>
      <c r="L1357" t="s">
        <v>982</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1442</v>
      </c>
      <c r="B1358" t="s">
        <v>24</v>
      </c>
      <c r="C1358">
        <v>1</v>
      </c>
      <c r="D1358">
        <v>66.3</v>
      </c>
      <c r="E1358">
        <v>66.3</v>
      </c>
      <c r="F1358" s="1">
        <v>45709</v>
      </c>
      <c r="G1358" s="1">
        <v>45710</v>
      </c>
      <c r="H1358" t="s">
        <v>12</v>
      </c>
      <c r="I1358" t="s">
        <v>20</v>
      </c>
      <c r="J1358">
        <v>4</v>
      </c>
      <c r="K1358" t="s">
        <v>4</v>
      </c>
      <c r="L1358" t="s">
        <v>67</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1443</v>
      </c>
      <c r="B1359" t="s">
        <v>27</v>
      </c>
      <c r="C1359">
        <v>1</v>
      </c>
      <c r="D1359">
        <v>33.5</v>
      </c>
      <c r="E1359">
        <v>33.5</v>
      </c>
      <c r="F1359" s="1">
        <v>45709</v>
      </c>
      <c r="G1359" s="1">
        <v>45713</v>
      </c>
      <c r="H1359" t="s">
        <v>8</v>
      </c>
      <c r="I1359" t="s">
        <v>25</v>
      </c>
      <c r="J1359">
        <v>4</v>
      </c>
      <c r="K1359" t="s">
        <v>4</v>
      </c>
      <c r="L1359" t="s">
        <v>67</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1444</v>
      </c>
      <c r="B1360" t="s">
        <v>54</v>
      </c>
      <c r="C1360">
        <v>2</v>
      </c>
      <c r="D1360">
        <v>70.8</v>
      </c>
      <c r="E1360">
        <v>141.6</v>
      </c>
      <c r="F1360" s="1">
        <v>45709</v>
      </c>
      <c r="G1360" s="1">
        <v>45710</v>
      </c>
      <c r="H1360" t="s">
        <v>2</v>
      </c>
      <c r="I1360" t="s">
        <v>3</v>
      </c>
      <c r="J1360">
        <v>4</v>
      </c>
      <c r="K1360" t="s">
        <v>4</v>
      </c>
      <c r="L1360" t="s">
        <v>228</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1445</v>
      </c>
      <c r="B1361" t="s">
        <v>24</v>
      </c>
      <c r="C1361">
        <v>2</v>
      </c>
      <c r="D1361">
        <v>127.6</v>
      </c>
      <c r="E1361">
        <v>255.2</v>
      </c>
      <c r="F1361" s="1">
        <v>45709</v>
      </c>
      <c r="G1361" s="1">
        <v>45710</v>
      </c>
      <c r="H1361" t="s">
        <v>8</v>
      </c>
      <c r="I1361" t="s">
        <v>3</v>
      </c>
      <c r="J1361">
        <v>4</v>
      </c>
      <c r="K1361" t="s">
        <v>4</v>
      </c>
      <c r="L1361" t="s">
        <v>100</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1446</v>
      </c>
      <c r="B1362" t="s">
        <v>24</v>
      </c>
      <c r="C1362">
        <v>3</v>
      </c>
      <c r="D1362">
        <v>95.9</v>
      </c>
      <c r="E1362">
        <v>287.70000000000005</v>
      </c>
      <c r="F1362" s="1">
        <v>45709</v>
      </c>
      <c r="G1362" s="1">
        <v>45710</v>
      </c>
      <c r="H1362" t="s">
        <v>12</v>
      </c>
      <c r="I1362" t="s">
        <v>20</v>
      </c>
      <c r="J1362">
        <v>3</v>
      </c>
      <c r="K1362" t="s">
        <v>4</v>
      </c>
      <c r="L1362" t="s">
        <v>100</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1447</v>
      </c>
      <c r="B1363" t="s">
        <v>11</v>
      </c>
      <c r="C1363">
        <v>2</v>
      </c>
      <c r="D1363">
        <v>78.099999999999994</v>
      </c>
      <c r="E1363">
        <v>156.19999999999999</v>
      </c>
      <c r="F1363" s="1">
        <v>45709</v>
      </c>
      <c r="G1363" s="1">
        <v>45710</v>
      </c>
      <c r="H1363" t="s">
        <v>8</v>
      </c>
      <c r="I1363" t="s">
        <v>3</v>
      </c>
      <c r="J1363">
        <v>4</v>
      </c>
      <c r="K1363" t="s">
        <v>4</v>
      </c>
      <c r="L1363" t="s">
        <v>9</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1448</v>
      </c>
      <c r="B1364" t="s">
        <v>61</v>
      </c>
      <c r="C1364">
        <v>2</v>
      </c>
      <c r="D1364">
        <v>43.2</v>
      </c>
      <c r="E1364">
        <v>86.4</v>
      </c>
      <c r="F1364" s="1">
        <v>45709</v>
      </c>
      <c r="G1364" s="1">
        <v>45710</v>
      </c>
      <c r="H1364" t="s">
        <v>2</v>
      </c>
      <c r="I1364" t="s">
        <v>20</v>
      </c>
      <c r="J1364">
        <v>3</v>
      </c>
      <c r="K1364" t="s">
        <v>4</v>
      </c>
      <c r="L1364" t="s">
        <v>9</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1449</v>
      </c>
      <c r="B1365" t="s">
        <v>29</v>
      </c>
      <c r="C1365">
        <v>4</v>
      </c>
      <c r="D1365">
        <v>28.4</v>
      </c>
      <c r="E1365">
        <v>113.6</v>
      </c>
      <c r="F1365" s="1">
        <v>45709</v>
      </c>
      <c r="G1365" s="1">
        <v>45715</v>
      </c>
      <c r="H1365" t="s">
        <v>8</v>
      </c>
      <c r="I1365" t="s">
        <v>25</v>
      </c>
      <c r="J1365">
        <v>4</v>
      </c>
      <c r="K1365" t="s">
        <v>4</v>
      </c>
      <c r="L1365" t="s">
        <v>18</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1450</v>
      </c>
      <c r="B1366" t="s">
        <v>11</v>
      </c>
      <c r="C1366">
        <v>2</v>
      </c>
      <c r="D1366">
        <v>81.7</v>
      </c>
      <c r="E1366">
        <v>163.4</v>
      </c>
      <c r="F1366" s="1">
        <v>45709</v>
      </c>
      <c r="G1366" s="1">
        <v>45709</v>
      </c>
      <c r="H1366" t="s">
        <v>8</v>
      </c>
      <c r="I1366" t="s">
        <v>3</v>
      </c>
      <c r="J1366">
        <v>4</v>
      </c>
      <c r="K1366" t="s">
        <v>4</v>
      </c>
      <c r="L1366" t="s">
        <v>18</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1451</v>
      </c>
      <c r="B1367" t="s">
        <v>131</v>
      </c>
      <c r="C1367">
        <v>2</v>
      </c>
      <c r="D1367">
        <v>56.7</v>
      </c>
      <c r="E1367">
        <v>113.4</v>
      </c>
      <c r="F1367" s="1">
        <v>45709</v>
      </c>
      <c r="G1367" s="1">
        <v>45711</v>
      </c>
      <c r="H1367" t="s">
        <v>2</v>
      </c>
      <c r="I1367" t="s">
        <v>3</v>
      </c>
      <c r="J1367">
        <v>5</v>
      </c>
      <c r="K1367" t="s">
        <v>4</v>
      </c>
      <c r="L1367" t="s">
        <v>18</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1452</v>
      </c>
      <c r="B1368" t="s">
        <v>15</v>
      </c>
      <c r="C1368">
        <v>4</v>
      </c>
      <c r="D1368">
        <v>66.5</v>
      </c>
      <c r="E1368">
        <v>266</v>
      </c>
      <c r="F1368" s="1">
        <v>45709</v>
      </c>
      <c r="G1368" s="1">
        <v>45709</v>
      </c>
      <c r="H1368" t="s">
        <v>12</v>
      </c>
      <c r="I1368" t="s">
        <v>3</v>
      </c>
      <c r="J1368">
        <v>5</v>
      </c>
      <c r="K1368" t="s">
        <v>4</v>
      </c>
      <c r="L1368" t="s">
        <v>18</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1453</v>
      </c>
      <c r="B1369" t="s">
        <v>7</v>
      </c>
      <c r="C1369">
        <v>2</v>
      </c>
      <c r="D1369">
        <v>105.3</v>
      </c>
      <c r="E1369">
        <v>210.6</v>
      </c>
      <c r="F1369" s="1">
        <v>45709</v>
      </c>
      <c r="G1369" s="1">
        <v>45713</v>
      </c>
      <c r="H1369" t="s">
        <v>8</v>
      </c>
      <c r="I1369" t="s">
        <v>3</v>
      </c>
      <c r="J1369">
        <v>3</v>
      </c>
      <c r="K1369" t="s">
        <v>4</v>
      </c>
      <c r="L1369" t="s">
        <v>18</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1454</v>
      </c>
      <c r="B1370" t="s">
        <v>39</v>
      </c>
      <c r="C1370">
        <v>5</v>
      </c>
      <c r="D1370">
        <v>33.799999999999997</v>
      </c>
      <c r="E1370">
        <v>169</v>
      </c>
      <c r="F1370" s="1">
        <v>45709</v>
      </c>
      <c r="G1370" s="1">
        <v>45714</v>
      </c>
      <c r="H1370" t="s">
        <v>8</v>
      </c>
      <c r="I1370" t="s">
        <v>3</v>
      </c>
      <c r="J1370">
        <v>4</v>
      </c>
      <c r="K1370" t="s">
        <v>4</v>
      </c>
      <c r="L1370" t="s">
        <v>18</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1455</v>
      </c>
      <c r="B1371" t="s">
        <v>24</v>
      </c>
      <c r="C1371">
        <v>3</v>
      </c>
      <c r="D1371">
        <v>63.4</v>
      </c>
      <c r="E1371">
        <v>190.2</v>
      </c>
      <c r="F1371" s="1">
        <v>45709</v>
      </c>
      <c r="G1371" s="1">
        <v>45714</v>
      </c>
      <c r="H1371" t="s">
        <v>8</v>
      </c>
      <c r="I1371" t="s">
        <v>36</v>
      </c>
      <c r="J1371">
        <v>3</v>
      </c>
      <c r="K1371" t="s">
        <v>4</v>
      </c>
      <c r="L1371" t="s">
        <v>171</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1456</v>
      </c>
      <c r="B1372" t="s">
        <v>24</v>
      </c>
      <c r="C1372">
        <v>3</v>
      </c>
      <c r="D1372">
        <v>49</v>
      </c>
      <c r="E1372">
        <v>147</v>
      </c>
      <c r="F1372" s="1">
        <v>45709</v>
      </c>
      <c r="G1372" s="1">
        <v>45713</v>
      </c>
      <c r="H1372" t="s">
        <v>8</v>
      </c>
      <c r="I1372" t="s">
        <v>36</v>
      </c>
      <c r="J1372">
        <v>4</v>
      </c>
      <c r="K1372" t="s">
        <v>4</v>
      </c>
      <c r="L1372" t="s">
        <v>787</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1457</v>
      </c>
      <c r="B1373" t="s">
        <v>7</v>
      </c>
      <c r="C1373">
        <v>2</v>
      </c>
      <c r="D1373">
        <v>40</v>
      </c>
      <c r="E1373">
        <v>80</v>
      </c>
      <c r="F1373" s="1">
        <v>45709</v>
      </c>
      <c r="G1373" s="1">
        <v>45710</v>
      </c>
      <c r="H1373" t="s">
        <v>12</v>
      </c>
      <c r="I1373" t="s">
        <v>55</v>
      </c>
      <c r="J1373">
        <v>3</v>
      </c>
      <c r="K1373" t="s">
        <v>4</v>
      </c>
      <c r="L1373" t="s">
        <v>143</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1458</v>
      </c>
      <c r="B1374" t="s">
        <v>24</v>
      </c>
      <c r="C1374">
        <v>4</v>
      </c>
      <c r="D1374">
        <v>86.3</v>
      </c>
      <c r="E1374">
        <v>345.2</v>
      </c>
      <c r="F1374" s="1">
        <v>45709</v>
      </c>
      <c r="G1374" s="1">
        <v>45710</v>
      </c>
      <c r="H1374" t="s">
        <v>74</v>
      </c>
      <c r="I1374" t="s">
        <v>3</v>
      </c>
      <c r="J1374">
        <v>4</v>
      </c>
      <c r="K1374" t="s">
        <v>4</v>
      </c>
      <c r="L1374" t="s">
        <v>40</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1459</v>
      </c>
      <c r="B1375" t="s">
        <v>24</v>
      </c>
      <c r="C1375">
        <v>1</v>
      </c>
      <c r="D1375">
        <v>51.6</v>
      </c>
      <c r="E1375">
        <v>51.6</v>
      </c>
      <c r="F1375" s="1">
        <v>45709</v>
      </c>
      <c r="G1375" s="1">
        <v>45711</v>
      </c>
      <c r="H1375" t="s">
        <v>12</v>
      </c>
      <c r="I1375" t="s">
        <v>25</v>
      </c>
      <c r="J1375">
        <v>5</v>
      </c>
      <c r="K1375" t="s">
        <v>4</v>
      </c>
      <c r="L1375" t="s">
        <v>40</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1460</v>
      </c>
      <c r="B1376" t="s">
        <v>39</v>
      </c>
      <c r="C1376">
        <v>3</v>
      </c>
      <c r="D1376">
        <v>26.7</v>
      </c>
      <c r="E1376">
        <v>80.099999999999994</v>
      </c>
      <c r="F1376" s="1">
        <v>45709</v>
      </c>
      <c r="G1376" s="1">
        <v>45714</v>
      </c>
      <c r="H1376" t="s">
        <v>12</v>
      </c>
      <c r="I1376" t="s">
        <v>25</v>
      </c>
      <c r="J1376">
        <v>3</v>
      </c>
      <c r="K1376" t="s">
        <v>4</v>
      </c>
      <c r="L1376" t="s">
        <v>40</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1461</v>
      </c>
      <c r="B1377" t="s">
        <v>131</v>
      </c>
      <c r="C1377">
        <v>2</v>
      </c>
      <c r="D1377">
        <v>68.099999999999994</v>
      </c>
      <c r="E1377">
        <v>136.19999999999999</v>
      </c>
      <c r="F1377" s="1">
        <v>45709</v>
      </c>
      <c r="G1377" s="1">
        <v>45710</v>
      </c>
      <c r="H1377" t="s">
        <v>8</v>
      </c>
      <c r="I1377" t="s">
        <v>3</v>
      </c>
      <c r="J1377">
        <v>3</v>
      </c>
      <c r="K1377" t="s">
        <v>4</v>
      </c>
      <c r="L1377" t="s">
        <v>40</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1462</v>
      </c>
      <c r="B1378" t="s">
        <v>7</v>
      </c>
      <c r="C1378">
        <v>1</v>
      </c>
      <c r="D1378">
        <v>81.7</v>
      </c>
      <c r="E1378">
        <v>81.7</v>
      </c>
      <c r="F1378" s="1">
        <v>45709</v>
      </c>
      <c r="G1378" s="1">
        <v>45710</v>
      </c>
      <c r="H1378" t="s">
        <v>8</v>
      </c>
      <c r="I1378" t="s">
        <v>3</v>
      </c>
      <c r="J1378">
        <v>4</v>
      </c>
      <c r="K1378" t="s">
        <v>4</v>
      </c>
      <c r="L1378" t="s">
        <v>44</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1463</v>
      </c>
      <c r="B1379" t="s">
        <v>131</v>
      </c>
      <c r="C1379">
        <v>10</v>
      </c>
      <c r="D1379">
        <v>25.1</v>
      </c>
      <c r="E1379">
        <v>251</v>
      </c>
      <c r="F1379" s="1">
        <v>45709</v>
      </c>
      <c r="G1379" s="1">
        <v>45712</v>
      </c>
      <c r="H1379" t="s">
        <v>8</v>
      </c>
      <c r="I1379" t="s">
        <v>36</v>
      </c>
      <c r="J1379">
        <v>3</v>
      </c>
      <c r="K1379" t="s">
        <v>4</v>
      </c>
      <c r="L1379" t="s">
        <v>47</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1464</v>
      </c>
      <c r="B1380" t="s">
        <v>29</v>
      </c>
      <c r="C1380">
        <v>1</v>
      </c>
      <c r="D1380">
        <v>20.2</v>
      </c>
      <c r="E1380">
        <v>20.2</v>
      </c>
      <c r="F1380" s="1">
        <v>45709</v>
      </c>
      <c r="G1380" s="1">
        <v>45713</v>
      </c>
      <c r="H1380" t="s">
        <v>12</v>
      </c>
      <c r="I1380" t="s">
        <v>3</v>
      </c>
      <c r="J1380">
        <v>4</v>
      </c>
      <c r="K1380" t="s">
        <v>4</v>
      </c>
      <c r="L1380" t="s">
        <v>47</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1465</v>
      </c>
      <c r="B1381" t="s">
        <v>29</v>
      </c>
      <c r="C1381">
        <v>3</v>
      </c>
      <c r="D1381">
        <v>15.4</v>
      </c>
      <c r="E1381">
        <v>46.2</v>
      </c>
      <c r="F1381" s="1">
        <v>45709</v>
      </c>
      <c r="G1381" s="1">
        <v>45710</v>
      </c>
      <c r="H1381" t="s">
        <v>8</v>
      </c>
      <c r="I1381" t="s">
        <v>20</v>
      </c>
      <c r="J1381">
        <v>5</v>
      </c>
      <c r="K1381" t="s">
        <v>4</v>
      </c>
      <c r="L1381" t="s">
        <v>47</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1466</v>
      </c>
      <c r="B1382" t="s">
        <v>39</v>
      </c>
      <c r="C1382">
        <v>1</v>
      </c>
      <c r="D1382">
        <v>59.2</v>
      </c>
      <c r="E1382">
        <v>59.2</v>
      </c>
      <c r="F1382" s="1">
        <v>45709</v>
      </c>
      <c r="G1382" s="1">
        <v>45710</v>
      </c>
      <c r="H1382" t="s">
        <v>8</v>
      </c>
      <c r="I1382" t="s">
        <v>25</v>
      </c>
      <c r="J1382">
        <v>5</v>
      </c>
      <c r="K1382" t="s">
        <v>4</v>
      </c>
      <c r="L1382" t="s">
        <v>88</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1467</v>
      </c>
      <c r="B1383" t="s">
        <v>1</v>
      </c>
      <c r="C1383">
        <v>1</v>
      </c>
      <c r="D1383">
        <v>46.7</v>
      </c>
      <c r="E1383">
        <v>46.7</v>
      </c>
      <c r="F1383" s="1">
        <v>45709</v>
      </c>
      <c r="G1383" s="1">
        <v>45714</v>
      </c>
      <c r="H1383" t="s">
        <v>8</v>
      </c>
      <c r="I1383" t="s">
        <v>3</v>
      </c>
      <c r="J1383">
        <v>4</v>
      </c>
      <c r="K1383" t="s">
        <v>4</v>
      </c>
      <c r="L1383" t="s">
        <v>88</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1468</v>
      </c>
      <c r="B1384" t="s">
        <v>24</v>
      </c>
      <c r="C1384">
        <v>15</v>
      </c>
      <c r="D1384">
        <v>41.6</v>
      </c>
      <c r="E1384">
        <v>624</v>
      </c>
      <c r="F1384" s="1">
        <v>45709</v>
      </c>
      <c r="G1384" s="1">
        <v>45711</v>
      </c>
      <c r="H1384" t="s">
        <v>8</v>
      </c>
      <c r="I1384" t="s">
        <v>20</v>
      </c>
      <c r="J1384">
        <v>4</v>
      </c>
      <c r="K1384" t="s">
        <v>4</v>
      </c>
      <c r="L1384" t="s">
        <v>186</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1469</v>
      </c>
      <c r="B1385" t="s">
        <v>29</v>
      </c>
      <c r="C1385">
        <v>2</v>
      </c>
      <c r="D1385">
        <v>19.2</v>
      </c>
      <c r="E1385">
        <v>38.4</v>
      </c>
      <c r="F1385" s="1">
        <v>45709</v>
      </c>
      <c r="G1385" s="1">
        <v>45712</v>
      </c>
      <c r="H1385" t="s">
        <v>8</v>
      </c>
      <c r="I1385" t="s">
        <v>55</v>
      </c>
      <c r="J1385">
        <v>5</v>
      </c>
      <c r="K1385" t="s">
        <v>4</v>
      </c>
      <c r="L1385" t="s">
        <v>57</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1470</v>
      </c>
      <c r="B1386" t="s">
        <v>120</v>
      </c>
      <c r="C1386">
        <v>7</v>
      </c>
      <c r="D1386">
        <v>41.8</v>
      </c>
      <c r="E1386">
        <v>292.59999999999997</v>
      </c>
      <c r="F1386" s="1">
        <v>45709</v>
      </c>
      <c r="G1386" s="1">
        <v>45711</v>
      </c>
      <c r="H1386" t="s">
        <v>12</v>
      </c>
      <c r="I1386" t="s">
        <v>25</v>
      </c>
      <c r="J1386">
        <v>4</v>
      </c>
      <c r="K1386" t="s">
        <v>4</v>
      </c>
      <c r="L1386" t="s">
        <v>62</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1471</v>
      </c>
      <c r="B1387" t="s">
        <v>29</v>
      </c>
      <c r="C1387">
        <v>6</v>
      </c>
      <c r="D1387">
        <v>37.4</v>
      </c>
      <c r="E1387">
        <v>224.39999999999998</v>
      </c>
      <c r="F1387" s="1">
        <v>45709</v>
      </c>
      <c r="G1387" s="1">
        <v>45711</v>
      </c>
      <c r="H1387" t="s">
        <v>8</v>
      </c>
      <c r="I1387" t="s">
        <v>3</v>
      </c>
      <c r="J1387">
        <v>5</v>
      </c>
      <c r="K1387" t="s">
        <v>4</v>
      </c>
      <c r="L1387" t="s">
        <v>62</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1472</v>
      </c>
      <c r="B1388" t="s">
        <v>39</v>
      </c>
      <c r="C1388">
        <v>3</v>
      </c>
      <c r="D1388">
        <v>60.2</v>
      </c>
      <c r="E1388">
        <v>180.60000000000002</v>
      </c>
      <c r="F1388" s="1">
        <v>45709</v>
      </c>
      <c r="G1388" s="1">
        <v>45712</v>
      </c>
      <c r="H1388" t="s">
        <v>8</v>
      </c>
      <c r="I1388" t="s">
        <v>55</v>
      </c>
      <c r="J1388">
        <v>3</v>
      </c>
      <c r="K1388" t="s">
        <v>4</v>
      </c>
      <c r="L1388" t="s">
        <v>362</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1473</v>
      </c>
      <c r="B1389" t="s">
        <v>31</v>
      </c>
      <c r="C1389">
        <v>2</v>
      </c>
      <c r="D1389">
        <v>91.5</v>
      </c>
      <c r="E1389">
        <v>183</v>
      </c>
      <c r="F1389" s="1">
        <v>45710</v>
      </c>
      <c r="G1389" s="1">
        <v>45711</v>
      </c>
      <c r="H1389" t="s">
        <v>8</v>
      </c>
      <c r="I1389" t="s">
        <v>3</v>
      </c>
      <c r="J1389">
        <v>4</v>
      </c>
      <c r="K1389" t="s">
        <v>4</v>
      </c>
      <c r="L1389" t="s">
        <v>67</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1474</v>
      </c>
      <c r="B1390" t="s">
        <v>15</v>
      </c>
      <c r="C1390">
        <v>5</v>
      </c>
      <c r="D1390">
        <v>55.7</v>
      </c>
      <c r="E1390">
        <v>278.5</v>
      </c>
      <c r="F1390" s="1">
        <v>45710</v>
      </c>
      <c r="G1390" s="1">
        <v>45712</v>
      </c>
      <c r="H1390" t="s">
        <v>2</v>
      </c>
      <c r="I1390" t="s">
        <v>20</v>
      </c>
      <c r="J1390">
        <v>5</v>
      </c>
      <c r="K1390" t="s">
        <v>4</v>
      </c>
      <c r="L1390" t="s">
        <v>100</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1475</v>
      </c>
      <c r="B1391" t="s">
        <v>27</v>
      </c>
      <c r="C1391">
        <v>2</v>
      </c>
      <c r="D1391">
        <v>76.7</v>
      </c>
      <c r="E1391">
        <v>153.4</v>
      </c>
      <c r="F1391" s="1">
        <v>45710</v>
      </c>
      <c r="G1391" s="1">
        <v>45712</v>
      </c>
      <c r="H1391" t="s">
        <v>8</v>
      </c>
      <c r="I1391" t="s">
        <v>3</v>
      </c>
      <c r="J1391">
        <v>3</v>
      </c>
      <c r="K1391" t="s">
        <v>4</v>
      </c>
      <c r="L1391" t="s">
        <v>100</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1476</v>
      </c>
      <c r="B1392" t="s">
        <v>29</v>
      </c>
      <c r="C1392">
        <v>21</v>
      </c>
      <c r="D1392">
        <v>28.2</v>
      </c>
      <c r="E1392">
        <v>592.19999999999993</v>
      </c>
      <c r="F1392" s="1">
        <v>45710</v>
      </c>
      <c r="G1392" s="1">
        <v>45715</v>
      </c>
      <c r="H1392" t="s">
        <v>8</v>
      </c>
      <c r="I1392" t="s">
        <v>25</v>
      </c>
      <c r="J1392">
        <v>4</v>
      </c>
      <c r="K1392" t="s">
        <v>4</v>
      </c>
      <c r="L1392" t="s">
        <v>9</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1477</v>
      </c>
      <c r="B1393" t="s">
        <v>27</v>
      </c>
      <c r="C1393">
        <v>5</v>
      </c>
      <c r="D1393">
        <v>93.2</v>
      </c>
      <c r="E1393">
        <v>466</v>
      </c>
      <c r="F1393" s="1">
        <v>45710</v>
      </c>
      <c r="G1393" s="1">
        <v>45712</v>
      </c>
      <c r="H1393" t="s">
        <v>12</v>
      </c>
      <c r="I1393" t="s">
        <v>55</v>
      </c>
      <c r="J1393">
        <v>5</v>
      </c>
      <c r="K1393" t="s">
        <v>4</v>
      </c>
      <c r="L1393" t="s">
        <v>9</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1478</v>
      </c>
      <c r="B1394" t="s">
        <v>120</v>
      </c>
      <c r="C1394">
        <v>1</v>
      </c>
      <c r="D1394">
        <v>33.299999999999997</v>
      </c>
      <c r="E1394">
        <v>33.299999999999997</v>
      </c>
      <c r="F1394" s="1">
        <v>45710</v>
      </c>
      <c r="G1394" s="1">
        <v>45711</v>
      </c>
      <c r="H1394" t="s">
        <v>8</v>
      </c>
      <c r="I1394" t="s">
        <v>55</v>
      </c>
      <c r="J1394">
        <v>4</v>
      </c>
      <c r="K1394" t="s">
        <v>4</v>
      </c>
      <c r="L1394" t="s">
        <v>13</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1479</v>
      </c>
      <c r="B1395" t="s">
        <v>39</v>
      </c>
      <c r="C1395">
        <v>2</v>
      </c>
      <c r="D1395">
        <v>39.1</v>
      </c>
      <c r="E1395">
        <v>78.2</v>
      </c>
      <c r="F1395" s="1">
        <v>45710</v>
      </c>
      <c r="G1395" s="1">
        <v>45713</v>
      </c>
      <c r="H1395" t="s">
        <v>8</v>
      </c>
      <c r="I1395" t="s">
        <v>3</v>
      </c>
      <c r="J1395">
        <v>4</v>
      </c>
      <c r="K1395" t="s">
        <v>4</v>
      </c>
      <c r="L1395" t="s">
        <v>572</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1480</v>
      </c>
      <c r="B1396" t="s">
        <v>27</v>
      </c>
      <c r="C1396">
        <v>12</v>
      </c>
      <c r="D1396">
        <v>45.3</v>
      </c>
      <c r="E1396">
        <v>543.59999999999991</v>
      </c>
      <c r="F1396" s="1">
        <v>45710</v>
      </c>
      <c r="G1396" s="1">
        <v>45711</v>
      </c>
      <c r="H1396" t="s">
        <v>8</v>
      </c>
      <c r="I1396" t="s">
        <v>25</v>
      </c>
      <c r="J1396">
        <v>4</v>
      </c>
      <c r="K1396" t="s">
        <v>4</v>
      </c>
      <c r="L1396" t="s">
        <v>316</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1481</v>
      </c>
      <c r="B1397" t="s">
        <v>31</v>
      </c>
      <c r="C1397">
        <v>7</v>
      </c>
      <c r="D1397">
        <v>33.9</v>
      </c>
      <c r="E1397">
        <v>237.29999999999998</v>
      </c>
      <c r="F1397" s="1">
        <v>45710</v>
      </c>
      <c r="G1397" s="1">
        <v>45711</v>
      </c>
      <c r="H1397" t="s">
        <v>8</v>
      </c>
      <c r="I1397" t="s">
        <v>55</v>
      </c>
      <c r="J1397">
        <v>4</v>
      </c>
      <c r="K1397" t="s">
        <v>4</v>
      </c>
      <c r="L1397" t="s">
        <v>316</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1482</v>
      </c>
      <c r="B1398" t="s">
        <v>29</v>
      </c>
      <c r="C1398">
        <v>3</v>
      </c>
      <c r="D1398">
        <v>19</v>
      </c>
      <c r="E1398">
        <v>57</v>
      </c>
      <c r="F1398" s="1">
        <v>45710</v>
      </c>
      <c r="G1398" s="1">
        <v>45711</v>
      </c>
      <c r="H1398" t="s">
        <v>8</v>
      </c>
      <c r="I1398" t="s">
        <v>3</v>
      </c>
      <c r="J1398">
        <v>5</v>
      </c>
      <c r="K1398" t="s">
        <v>4</v>
      </c>
      <c r="L1398" t="s">
        <v>71</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1483</v>
      </c>
      <c r="B1399" t="s">
        <v>17</v>
      </c>
      <c r="C1399">
        <v>1</v>
      </c>
      <c r="D1399">
        <v>41.9</v>
      </c>
      <c r="E1399">
        <v>41.9</v>
      </c>
      <c r="F1399" s="1">
        <v>45710</v>
      </c>
      <c r="G1399" s="1">
        <v>45713</v>
      </c>
      <c r="H1399" t="s">
        <v>12</v>
      </c>
      <c r="I1399" t="s">
        <v>25</v>
      </c>
      <c r="J1399">
        <v>4</v>
      </c>
      <c r="K1399" t="s">
        <v>4</v>
      </c>
      <c r="L1399" t="s">
        <v>132</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1484</v>
      </c>
      <c r="B1400" t="s">
        <v>7</v>
      </c>
      <c r="C1400">
        <v>4</v>
      </c>
      <c r="D1400">
        <v>37.5</v>
      </c>
      <c r="E1400">
        <v>150</v>
      </c>
      <c r="F1400" s="1">
        <v>45710</v>
      </c>
      <c r="G1400" s="1">
        <v>45710</v>
      </c>
      <c r="H1400" t="s">
        <v>12</v>
      </c>
      <c r="I1400" t="s">
        <v>3</v>
      </c>
      <c r="J1400">
        <v>4</v>
      </c>
      <c r="K1400" t="s">
        <v>4</v>
      </c>
      <c r="L1400" t="s">
        <v>18</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1485</v>
      </c>
      <c r="B1401" t="s">
        <v>1</v>
      </c>
      <c r="C1401">
        <v>2</v>
      </c>
      <c r="D1401">
        <v>40.799999999999997</v>
      </c>
      <c r="E1401">
        <v>81.599999999999994</v>
      </c>
      <c r="F1401" s="1">
        <v>45710</v>
      </c>
      <c r="G1401" s="1">
        <v>45713</v>
      </c>
      <c r="H1401" t="s">
        <v>8</v>
      </c>
      <c r="I1401" t="s">
        <v>3</v>
      </c>
      <c r="J1401">
        <v>4</v>
      </c>
      <c r="K1401" t="s">
        <v>4</v>
      </c>
      <c r="L1401" t="s">
        <v>18</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1486</v>
      </c>
      <c r="B1402" t="s">
        <v>1</v>
      </c>
      <c r="C1402">
        <v>4</v>
      </c>
      <c r="D1402">
        <v>23.1</v>
      </c>
      <c r="E1402">
        <v>92.4</v>
      </c>
      <c r="F1402" s="1">
        <v>45710</v>
      </c>
      <c r="G1402" s="1">
        <v>45711</v>
      </c>
      <c r="H1402" t="s">
        <v>12</v>
      </c>
      <c r="I1402" t="s">
        <v>55</v>
      </c>
      <c r="J1402">
        <v>4</v>
      </c>
      <c r="K1402" t="s">
        <v>4</v>
      </c>
      <c r="L1402" t="s">
        <v>18</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1487</v>
      </c>
      <c r="B1403" t="s">
        <v>29</v>
      </c>
      <c r="C1403">
        <v>5</v>
      </c>
      <c r="D1403">
        <v>39.299999999999997</v>
      </c>
      <c r="E1403">
        <v>196.5</v>
      </c>
      <c r="F1403" s="1">
        <v>45710</v>
      </c>
      <c r="G1403" s="1">
        <v>45711</v>
      </c>
      <c r="H1403" t="s">
        <v>12</v>
      </c>
      <c r="I1403" t="s">
        <v>3</v>
      </c>
      <c r="J1403">
        <v>4</v>
      </c>
      <c r="K1403" t="s">
        <v>4</v>
      </c>
      <c r="L1403" t="s">
        <v>18</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1488</v>
      </c>
      <c r="B1404" t="s">
        <v>11</v>
      </c>
      <c r="C1404">
        <v>4</v>
      </c>
      <c r="D1404">
        <v>85.2</v>
      </c>
      <c r="E1404">
        <v>340.8</v>
      </c>
      <c r="F1404" s="1">
        <v>45710</v>
      </c>
      <c r="G1404" s="1">
        <v>45715</v>
      </c>
      <c r="H1404" t="s">
        <v>8</v>
      </c>
      <c r="I1404" t="s">
        <v>25</v>
      </c>
      <c r="J1404">
        <v>4</v>
      </c>
      <c r="K1404" t="s">
        <v>4</v>
      </c>
      <c r="L1404" t="s">
        <v>18</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1489</v>
      </c>
      <c r="B1405" t="s">
        <v>29</v>
      </c>
      <c r="C1405">
        <v>6</v>
      </c>
      <c r="D1405">
        <v>16</v>
      </c>
      <c r="E1405">
        <v>96</v>
      </c>
      <c r="F1405" s="1">
        <v>45710</v>
      </c>
      <c r="G1405" s="1">
        <v>45713</v>
      </c>
      <c r="H1405" t="s">
        <v>8</v>
      </c>
      <c r="I1405" t="s">
        <v>20</v>
      </c>
      <c r="J1405">
        <v>4</v>
      </c>
      <c r="K1405" t="s">
        <v>4</v>
      </c>
      <c r="L1405" t="s">
        <v>18</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1490</v>
      </c>
      <c r="B1406" t="s">
        <v>7</v>
      </c>
      <c r="C1406">
        <v>2</v>
      </c>
      <c r="D1406">
        <v>33.799999999999997</v>
      </c>
      <c r="E1406">
        <v>67.599999999999994</v>
      </c>
      <c r="F1406" s="1">
        <v>45710</v>
      </c>
      <c r="G1406" s="1">
        <v>45714</v>
      </c>
      <c r="H1406" t="s">
        <v>12</v>
      </c>
      <c r="I1406" t="s">
        <v>20</v>
      </c>
      <c r="J1406">
        <v>4</v>
      </c>
      <c r="K1406" t="s">
        <v>4</v>
      </c>
      <c r="L1406" t="s">
        <v>18</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1491</v>
      </c>
      <c r="B1407" t="s">
        <v>15</v>
      </c>
      <c r="C1407">
        <v>1</v>
      </c>
      <c r="D1407">
        <v>70</v>
      </c>
      <c r="E1407">
        <v>70</v>
      </c>
      <c r="F1407" s="1">
        <v>45710</v>
      </c>
      <c r="G1407" s="1">
        <v>45711</v>
      </c>
      <c r="H1407" t="s">
        <v>12</v>
      </c>
      <c r="I1407" t="s">
        <v>3</v>
      </c>
      <c r="J1407">
        <v>4</v>
      </c>
      <c r="K1407" t="s">
        <v>4</v>
      </c>
      <c r="L1407" t="s">
        <v>18</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1492</v>
      </c>
      <c r="B1408" t="s">
        <v>31</v>
      </c>
      <c r="C1408">
        <v>1</v>
      </c>
      <c r="D1408">
        <v>88</v>
      </c>
      <c r="E1408">
        <v>88</v>
      </c>
      <c r="F1408" s="1">
        <v>45710</v>
      </c>
      <c r="G1408" s="1">
        <v>45715</v>
      </c>
      <c r="H1408" t="s">
        <v>12</v>
      </c>
      <c r="I1408" t="s">
        <v>36</v>
      </c>
      <c r="J1408">
        <v>4</v>
      </c>
      <c r="K1408" t="s">
        <v>4</v>
      </c>
      <c r="L1408" t="s">
        <v>18</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1493</v>
      </c>
      <c r="B1409" t="s">
        <v>11</v>
      </c>
      <c r="C1409">
        <v>3</v>
      </c>
      <c r="D1409">
        <v>74.099999999999994</v>
      </c>
      <c r="E1409">
        <v>222.29999999999998</v>
      </c>
      <c r="F1409" s="1">
        <v>45710</v>
      </c>
      <c r="G1409" s="1">
        <v>45710</v>
      </c>
      <c r="H1409" t="s">
        <v>8</v>
      </c>
      <c r="I1409" t="s">
        <v>55</v>
      </c>
      <c r="J1409">
        <v>3</v>
      </c>
      <c r="K1409" t="s">
        <v>4</v>
      </c>
      <c r="L1409" t="s">
        <v>18</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1494</v>
      </c>
      <c r="B1410" t="s">
        <v>11</v>
      </c>
      <c r="C1410">
        <v>1</v>
      </c>
      <c r="D1410">
        <v>161.9</v>
      </c>
      <c r="E1410">
        <v>161.9</v>
      </c>
      <c r="F1410" s="1">
        <v>45710</v>
      </c>
      <c r="G1410" s="1">
        <v>45712</v>
      </c>
      <c r="H1410" t="s">
        <v>8</v>
      </c>
      <c r="I1410" t="s">
        <v>25</v>
      </c>
      <c r="J1410">
        <v>4</v>
      </c>
      <c r="K1410" t="s">
        <v>4</v>
      </c>
      <c r="L1410" t="s">
        <v>18</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1495</v>
      </c>
      <c r="B1411" t="s">
        <v>17</v>
      </c>
      <c r="C1411">
        <v>2</v>
      </c>
      <c r="D1411">
        <v>44</v>
      </c>
      <c r="E1411">
        <v>88</v>
      </c>
      <c r="F1411" s="1">
        <v>45710</v>
      </c>
      <c r="G1411" s="1">
        <v>45711</v>
      </c>
      <c r="H1411" t="s">
        <v>74</v>
      </c>
      <c r="I1411" t="s">
        <v>55</v>
      </c>
      <c r="J1411">
        <v>3</v>
      </c>
      <c r="K1411" t="s">
        <v>4</v>
      </c>
      <c r="L1411" t="s">
        <v>18</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1496</v>
      </c>
      <c r="B1412" t="s">
        <v>52</v>
      </c>
      <c r="C1412">
        <v>1</v>
      </c>
      <c r="D1412">
        <v>32.1</v>
      </c>
      <c r="E1412">
        <v>32.1</v>
      </c>
      <c r="F1412" s="1">
        <v>45710</v>
      </c>
      <c r="G1412" s="1">
        <v>45710</v>
      </c>
      <c r="H1412" t="s">
        <v>12</v>
      </c>
      <c r="I1412" t="s">
        <v>36</v>
      </c>
      <c r="J1412">
        <v>1</v>
      </c>
      <c r="K1412" t="s">
        <v>4</v>
      </c>
      <c r="L1412" t="s">
        <v>18</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1497</v>
      </c>
      <c r="B1413" t="s">
        <v>11</v>
      </c>
      <c r="C1413">
        <v>4</v>
      </c>
      <c r="D1413">
        <v>104.8</v>
      </c>
      <c r="E1413">
        <v>419.2</v>
      </c>
      <c r="F1413" s="1">
        <v>45711</v>
      </c>
      <c r="G1413" s="1">
        <v>45713</v>
      </c>
      <c r="H1413" t="s">
        <v>74</v>
      </c>
      <c r="I1413" t="s">
        <v>3</v>
      </c>
      <c r="J1413">
        <v>4</v>
      </c>
      <c r="K1413" t="s">
        <v>4</v>
      </c>
      <c r="L1413" t="s">
        <v>18</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1498</v>
      </c>
      <c r="B1414" t="s">
        <v>31</v>
      </c>
      <c r="C1414">
        <v>6</v>
      </c>
      <c r="D1414">
        <v>67.400000000000006</v>
      </c>
      <c r="E1414">
        <v>404.40000000000003</v>
      </c>
      <c r="F1414" s="1">
        <v>45711</v>
      </c>
      <c r="G1414" s="1">
        <v>45712</v>
      </c>
      <c r="H1414" t="s">
        <v>12</v>
      </c>
      <c r="I1414" t="s">
        <v>36</v>
      </c>
      <c r="J1414">
        <v>4</v>
      </c>
      <c r="K1414" t="s">
        <v>4</v>
      </c>
      <c r="L1414" t="s">
        <v>18</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1499</v>
      </c>
      <c r="B1415" t="s">
        <v>24</v>
      </c>
      <c r="C1415">
        <v>2</v>
      </c>
      <c r="D1415">
        <v>115.2</v>
      </c>
      <c r="E1415">
        <v>230.4</v>
      </c>
      <c r="F1415" s="1">
        <v>45711</v>
      </c>
      <c r="G1415" s="1">
        <v>45712</v>
      </c>
      <c r="H1415" t="s">
        <v>12</v>
      </c>
      <c r="I1415" t="s">
        <v>20</v>
      </c>
      <c r="J1415">
        <v>4</v>
      </c>
      <c r="K1415" t="s">
        <v>4</v>
      </c>
      <c r="L1415" t="s">
        <v>34</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1500</v>
      </c>
      <c r="B1416" t="s">
        <v>29</v>
      </c>
      <c r="C1416">
        <v>29</v>
      </c>
      <c r="D1416">
        <v>15.5</v>
      </c>
      <c r="E1416">
        <v>449.5</v>
      </c>
      <c r="F1416" s="1">
        <v>45711</v>
      </c>
      <c r="G1416" s="1">
        <v>45713</v>
      </c>
      <c r="H1416" t="s">
        <v>12</v>
      </c>
      <c r="I1416" t="s">
        <v>3</v>
      </c>
      <c r="J1416">
        <v>3</v>
      </c>
      <c r="K1416" t="s">
        <v>4</v>
      </c>
      <c r="L1416" t="s">
        <v>143</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1501</v>
      </c>
      <c r="B1417" t="s">
        <v>24</v>
      </c>
      <c r="C1417">
        <v>11</v>
      </c>
      <c r="D1417">
        <v>66.400000000000006</v>
      </c>
      <c r="E1417">
        <v>730.40000000000009</v>
      </c>
      <c r="F1417" s="1">
        <v>45711</v>
      </c>
      <c r="G1417" s="1">
        <v>45713</v>
      </c>
      <c r="H1417" t="s">
        <v>12</v>
      </c>
      <c r="I1417" t="s">
        <v>3</v>
      </c>
      <c r="J1417">
        <v>4</v>
      </c>
      <c r="K1417" t="s">
        <v>4</v>
      </c>
      <c r="L1417" t="s">
        <v>40</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1502</v>
      </c>
      <c r="B1418" t="s">
        <v>31</v>
      </c>
      <c r="C1418">
        <v>12</v>
      </c>
      <c r="D1418">
        <v>68.099999999999994</v>
      </c>
      <c r="E1418">
        <v>817.19999999999993</v>
      </c>
      <c r="F1418" s="1">
        <v>45711</v>
      </c>
      <c r="G1418" s="1">
        <v>45712</v>
      </c>
      <c r="H1418" t="s">
        <v>12</v>
      </c>
      <c r="I1418" t="s">
        <v>25</v>
      </c>
      <c r="J1418">
        <v>4</v>
      </c>
      <c r="K1418" t="s">
        <v>4</v>
      </c>
      <c r="L1418" t="s">
        <v>47</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1503</v>
      </c>
      <c r="B1419" t="s">
        <v>29</v>
      </c>
      <c r="C1419">
        <v>5</v>
      </c>
      <c r="D1419">
        <v>32.5</v>
      </c>
      <c r="E1419">
        <v>162.5</v>
      </c>
      <c r="F1419" s="1">
        <v>45711</v>
      </c>
      <c r="G1419" s="1">
        <v>45715</v>
      </c>
      <c r="H1419" t="s">
        <v>8</v>
      </c>
      <c r="I1419" t="s">
        <v>25</v>
      </c>
      <c r="J1419">
        <v>3</v>
      </c>
      <c r="K1419" t="s">
        <v>4</v>
      </c>
      <c r="L1419" t="s">
        <v>47</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1504</v>
      </c>
      <c r="B1420" t="s">
        <v>108</v>
      </c>
      <c r="C1420">
        <v>3</v>
      </c>
      <c r="D1420">
        <v>61.2</v>
      </c>
      <c r="E1420">
        <v>183.60000000000002</v>
      </c>
      <c r="F1420" s="1">
        <v>45711</v>
      </c>
      <c r="G1420" s="1">
        <v>45713</v>
      </c>
      <c r="H1420" t="s">
        <v>12</v>
      </c>
      <c r="I1420" t="s">
        <v>20</v>
      </c>
      <c r="J1420">
        <v>3</v>
      </c>
      <c r="K1420" t="s">
        <v>4</v>
      </c>
      <c r="L1420" t="s">
        <v>47</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1505</v>
      </c>
      <c r="B1421" t="s">
        <v>31</v>
      </c>
      <c r="C1421">
        <v>2</v>
      </c>
      <c r="D1421">
        <v>54.2</v>
      </c>
      <c r="E1421">
        <v>108.4</v>
      </c>
      <c r="F1421" s="1">
        <v>45711</v>
      </c>
      <c r="G1421" s="1">
        <v>45712</v>
      </c>
      <c r="H1421" t="s">
        <v>12</v>
      </c>
      <c r="I1421" t="s">
        <v>20</v>
      </c>
      <c r="J1421">
        <v>4</v>
      </c>
      <c r="K1421" t="s">
        <v>4</v>
      </c>
      <c r="L1421" t="s">
        <v>47</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1506</v>
      </c>
      <c r="B1422" t="s">
        <v>52</v>
      </c>
      <c r="C1422">
        <v>8</v>
      </c>
      <c r="D1422">
        <v>28.7</v>
      </c>
      <c r="E1422">
        <v>229.6</v>
      </c>
      <c r="F1422" s="1">
        <v>45711</v>
      </c>
      <c r="G1422" s="1">
        <v>45713</v>
      </c>
      <c r="H1422" t="s">
        <v>8</v>
      </c>
      <c r="I1422" t="s">
        <v>20</v>
      </c>
      <c r="J1422">
        <v>4</v>
      </c>
      <c r="K1422" t="s">
        <v>4</v>
      </c>
      <c r="L1422" t="s">
        <v>57</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1507</v>
      </c>
      <c r="B1423" t="s">
        <v>54</v>
      </c>
      <c r="C1423">
        <v>6</v>
      </c>
      <c r="D1423">
        <v>38.200000000000003</v>
      </c>
      <c r="E1423">
        <v>229.20000000000002</v>
      </c>
      <c r="F1423" s="1">
        <v>45711</v>
      </c>
      <c r="G1423" s="1">
        <v>45715</v>
      </c>
      <c r="H1423" t="s">
        <v>12</v>
      </c>
      <c r="I1423" t="s">
        <v>3</v>
      </c>
      <c r="J1423">
        <v>3</v>
      </c>
      <c r="K1423" t="s">
        <v>4</v>
      </c>
      <c r="L1423" t="s">
        <v>57</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1508</v>
      </c>
      <c r="B1424" t="s">
        <v>29</v>
      </c>
      <c r="C1424">
        <v>12</v>
      </c>
      <c r="D1424">
        <v>17.600000000000001</v>
      </c>
      <c r="E1424">
        <v>211.20000000000002</v>
      </c>
      <c r="F1424" s="1">
        <v>45711</v>
      </c>
      <c r="G1424" s="1">
        <v>45712</v>
      </c>
      <c r="H1424" t="s">
        <v>12</v>
      </c>
      <c r="I1424" t="s">
        <v>25</v>
      </c>
      <c r="J1424">
        <v>3</v>
      </c>
      <c r="K1424" t="s">
        <v>4</v>
      </c>
      <c r="L1424" t="s">
        <v>57</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1509</v>
      </c>
      <c r="B1425" t="s">
        <v>39</v>
      </c>
      <c r="C1425">
        <v>3</v>
      </c>
      <c r="D1425">
        <v>74.599999999999994</v>
      </c>
      <c r="E1425">
        <v>223.79999999999998</v>
      </c>
      <c r="F1425" s="1">
        <v>45711</v>
      </c>
      <c r="G1425" s="1">
        <v>45711</v>
      </c>
      <c r="H1425" t="s">
        <v>12</v>
      </c>
      <c r="I1425" t="s">
        <v>25</v>
      </c>
      <c r="J1425">
        <v>4</v>
      </c>
      <c r="K1425" t="s">
        <v>4</v>
      </c>
      <c r="L1425" t="s">
        <v>62</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1510</v>
      </c>
      <c r="B1426" t="s">
        <v>113</v>
      </c>
      <c r="C1426">
        <v>15</v>
      </c>
      <c r="D1426">
        <v>72.599999999999994</v>
      </c>
      <c r="E1426">
        <v>1089</v>
      </c>
      <c r="F1426" s="1">
        <v>45711</v>
      </c>
      <c r="G1426" s="1">
        <v>45711</v>
      </c>
      <c r="H1426" t="s">
        <v>2</v>
      </c>
      <c r="I1426" t="s">
        <v>20</v>
      </c>
      <c r="J1426">
        <v>3</v>
      </c>
      <c r="K1426" t="s">
        <v>4</v>
      </c>
      <c r="L1426" t="s">
        <v>62</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1511</v>
      </c>
      <c r="B1427" t="s">
        <v>27</v>
      </c>
      <c r="C1427">
        <v>1</v>
      </c>
      <c r="D1427">
        <v>62.3</v>
      </c>
      <c r="E1427">
        <v>62.3</v>
      </c>
      <c r="F1427" s="1">
        <v>45711</v>
      </c>
      <c r="G1427" s="1">
        <v>45712</v>
      </c>
      <c r="H1427" t="s">
        <v>12</v>
      </c>
      <c r="I1427" t="s">
        <v>20</v>
      </c>
      <c r="J1427">
        <v>4</v>
      </c>
      <c r="K1427" t="s">
        <v>4</v>
      </c>
      <c r="L1427" t="s">
        <v>62</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1512</v>
      </c>
      <c r="B1428" t="s">
        <v>15</v>
      </c>
      <c r="C1428">
        <v>3</v>
      </c>
      <c r="D1428">
        <v>33.799999999999997</v>
      </c>
      <c r="E1428">
        <v>101.39999999999999</v>
      </c>
      <c r="F1428" s="1">
        <v>45711</v>
      </c>
      <c r="G1428" s="1">
        <v>45713</v>
      </c>
      <c r="H1428" t="s">
        <v>8</v>
      </c>
      <c r="I1428" t="s">
        <v>3</v>
      </c>
      <c r="J1428">
        <v>5</v>
      </c>
      <c r="K1428" t="s">
        <v>4</v>
      </c>
      <c r="L1428" t="s">
        <v>98</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1513</v>
      </c>
      <c r="B1429" t="s">
        <v>31</v>
      </c>
      <c r="C1429">
        <v>1</v>
      </c>
      <c r="D1429">
        <v>85.7</v>
      </c>
      <c r="E1429">
        <v>85.7</v>
      </c>
      <c r="F1429" s="1">
        <v>45711</v>
      </c>
      <c r="G1429" s="1">
        <v>45714</v>
      </c>
      <c r="H1429" t="s">
        <v>8</v>
      </c>
      <c r="I1429" t="s">
        <v>36</v>
      </c>
      <c r="J1429">
        <v>3</v>
      </c>
      <c r="K1429" t="s">
        <v>4</v>
      </c>
      <c r="L1429" t="s">
        <v>100</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1514</v>
      </c>
      <c r="B1430" t="s">
        <v>24</v>
      </c>
      <c r="C1430">
        <v>2</v>
      </c>
      <c r="D1430">
        <v>92.1</v>
      </c>
      <c r="E1430">
        <v>184.2</v>
      </c>
      <c r="F1430" s="1">
        <v>45711</v>
      </c>
      <c r="G1430" s="1">
        <v>45713</v>
      </c>
      <c r="H1430" t="s">
        <v>8</v>
      </c>
      <c r="I1430" t="s">
        <v>20</v>
      </c>
      <c r="J1430">
        <v>4</v>
      </c>
      <c r="K1430" t="s">
        <v>4</v>
      </c>
      <c r="L1430" t="s">
        <v>100</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1515</v>
      </c>
      <c r="B1431" t="s">
        <v>113</v>
      </c>
      <c r="C1431">
        <v>3</v>
      </c>
      <c r="D1431">
        <v>65.099999999999994</v>
      </c>
      <c r="E1431">
        <v>195.29999999999998</v>
      </c>
      <c r="F1431" s="1">
        <v>45711</v>
      </c>
      <c r="G1431" s="1">
        <v>45714</v>
      </c>
      <c r="H1431" t="s">
        <v>8</v>
      </c>
      <c r="I1431" t="s">
        <v>3</v>
      </c>
      <c r="J1431">
        <v>4</v>
      </c>
      <c r="K1431" t="s">
        <v>4</v>
      </c>
      <c r="L1431" t="s">
        <v>9</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1516</v>
      </c>
      <c r="B1432" t="s">
        <v>31</v>
      </c>
      <c r="C1432">
        <v>7</v>
      </c>
      <c r="D1432">
        <v>20.3</v>
      </c>
      <c r="E1432">
        <v>142.1</v>
      </c>
      <c r="F1432" s="1">
        <v>45711</v>
      </c>
      <c r="G1432" s="1">
        <v>45712</v>
      </c>
      <c r="H1432" t="s">
        <v>12</v>
      </c>
      <c r="I1432" t="s">
        <v>25</v>
      </c>
      <c r="J1432">
        <v>5</v>
      </c>
      <c r="K1432" t="s">
        <v>4</v>
      </c>
      <c r="L1432" t="s">
        <v>13</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1517</v>
      </c>
      <c r="B1433" t="s">
        <v>156</v>
      </c>
      <c r="C1433">
        <v>2</v>
      </c>
      <c r="D1433">
        <v>29.8</v>
      </c>
      <c r="E1433">
        <v>59.6</v>
      </c>
      <c r="F1433" s="1">
        <v>45711</v>
      </c>
      <c r="G1433" s="1">
        <v>45713</v>
      </c>
      <c r="H1433" t="s">
        <v>12</v>
      </c>
      <c r="I1433" t="s">
        <v>20</v>
      </c>
      <c r="J1433">
        <v>5</v>
      </c>
      <c r="K1433" t="s">
        <v>4</v>
      </c>
      <c r="L1433" t="s">
        <v>319</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1518</v>
      </c>
      <c r="B1434" t="s">
        <v>1</v>
      </c>
      <c r="C1434">
        <v>2</v>
      </c>
      <c r="D1434">
        <v>24.2</v>
      </c>
      <c r="E1434">
        <v>48.4</v>
      </c>
      <c r="F1434" s="1">
        <v>45711</v>
      </c>
      <c r="G1434" s="1">
        <v>45713</v>
      </c>
      <c r="H1434" t="s">
        <v>12</v>
      </c>
      <c r="I1434" t="s">
        <v>36</v>
      </c>
      <c r="J1434">
        <v>5</v>
      </c>
      <c r="K1434" t="s">
        <v>4</v>
      </c>
      <c r="L1434" t="s">
        <v>18</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1519</v>
      </c>
      <c r="B1435" t="s">
        <v>15</v>
      </c>
      <c r="C1435">
        <v>1</v>
      </c>
      <c r="D1435">
        <v>57.3</v>
      </c>
      <c r="E1435">
        <v>57.3</v>
      </c>
      <c r="F1435" s="1">
        <v>45711</v>
      </c>
      <c r="G1435" s="1">
        <v>45713</v>
      </c>
      <c r="H1435" t="s">
        <v>8</v>
      </c>
      <c r="I1435" t="s">
        <v>3</v>
      </c>
      <c r="J1435">
        <v>4</v>
      </c>
      <c r="K1435" t="s">
        <v>4</v>
      </c>
      <c r="L1435" t="s">
        <v>18</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1520</v>
      </c>
      <c r="B1436" t="s">
        <v>11</v>
      </c>
      <c r="C1436">
        <v>1</v>
      </c>
      <c r="D1436">
        <v>108.9</v>
      </c>
      <c r="E1436">
        <v>108.9</v>
      </c>
      <c r="F1436" s="1">
        <v>45711</v>
      </c>
      <c r="G1436" s="1">
        <v>45713</v>
      </c>
      <c r="H1436" t="s">
        <v>12</v>
      </c>
      <c r="I1436" t="s">
        <v>20</v>
      </c>
      <c r="J1436">
        <v>4</v>
      </c>
      <c r="K1436" t="s">
        <v>4</v>
      </c>
      <c r="L1436" t="s">
        <v>18</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1521</v>
      </c>
      <c r="B1437" t="s">
        <v>27</v>
      </c>
      <c r="C1437">
        <v>5</v>
      </c>
      <c r="D1437">
        <v>50.7</v>
      </c>
      <c r="E1437">
        <v>253.5</v>
      </c>
      <c r="F1437" s="1">
        <v>45711</v>
      </c>
      <c r="G1437" s="1">
        <v>45712</v>
      </c>
      <c r="H1437" t="s">
        <v>12</v>
      </c>
      <c r="I1437" t="s">
        <v>3</v>
      </c>
      <c r="J1437">
        <v>4</v>
      </c>
      <c r="K1437" t="s">
        <v>4</v>
      </c>
      <c r="L1437" t="s">
        <v>18</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1522</v>
      </c>
      <c r="B1438" t="s">
        <v>27</v>
      </c>
      <c r="C1438">
        <v>9</v>
      </c>
      <c r="D1438">
        <v>66.099999999999994</v>
      </c>
      <c r="E1438">
        <v>594.9</v>
      </c>
      <c r="F1438" s="1">
        <v>45711</v>
      </c>
      <c r="G1438" s="1">
        <v>45725</v>
      </c>
      <c r="H1438" t="s">
        <v>12</v>
      </c>
      <c r="I1438" t="s">
        <v>20</v>
      </c>
      <c r="J1438">
        <v>4</v>
      </c>
      <c r="K1438" t="s">
        <v>4</v>
      </c>
      <c r="L1438" t="s">
        <v>18</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1523</v>
      </c>
      <c r="B1439" t="s">
        <v>54</v>
      </c>
      <c r="C1439">
        <v>5</v>
      </c>
      <c r="D1439">
        <v>36.700000000000003</v>
      </c>
      <c r="E1439">
        <v>183.5</v>
      </c>
      <c r="F1439" s="1">
        <v>45711</v>
      </c>
      <c r="G1439" s="1">
        <v>45715</v>
      </c>
      <c r="H1439" t="s">
        <v>12</v>
      </c>
      <c r="I1439" t="s">
        <v>55</v>
      </c>
      <c r="J1439">
        <v>4</v>
      </c>
      <c r="K1439" t="s">
        <v>4</v>
      </c>
      <c r="L1439" t="s">
        <v>18</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1524</v>
      </c>
      <c r="B1440" t="s">
        <v>29</v>
      </c>
      <c r="C1440">
        <v>17</v>
      </c>
      <c r="D1440">
        <v>19.3</v>
      </c>
      <c r="E1440">
        <v>328.1</v>
      </c>
      <c r="F1440" s="1">
        <v>45711</v>
      </c>
      <c r="G1440" s="1">
        <v>45713</v>
      </c>
      <c r="H1440" t="s">
        <v>8</v>
      </c>
      <c r="I1440" t="s">
        <v>3</v>
      </c>
      <c r="J1440">
        <v>4</v>
      </c>
      <c r="K1440" t="s">
        <v>4</v>
      </c>
      <c r="L1440" t="s">
        <v>530</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1525</v>
      </c>
      <c r="B1441" t="s">
        <v>29</v>
      </c>
      <c r="C1441">
        <v>4</v>
      </c>
      <c r="D1441">
        <v>20.7</v>
      </c>
      <c r="E1441">
        <v>82.8</v>
      </c>
      <c r="F1441" s="1">
        <v>45711</v>
      </c>
      <c r="G1441" s="1">
        <v>45712</v>
      </c>
      <c r="H1441" t="s">
        <v>8</v>
      </c>
      <c r="I1441" t="s">
        <v>20</v>
      </c>
      <c r="J1441">
        <v>5</v>
      </c>
      <c r="K1441" t="s">
        <v>4</v>
      </c>
      <c r="L1441" t="s">
        <v>40</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1526</v>
      </c>
      <c r="B1442" t="s">
        <v>22</v>
      </c>
      <c r="C1442">
        <v>3</v>
      </c>
      <c r="D1442">
        <v>54.7</v>
      </c>
      <c r="E1442">
        <v>164.10000000000002</v>
      </c>
      <c r="F1442" s="1">
        <v>45711</v>
      </c>
      <c r="G1442" s="1">
        <v>45711</v>
      </c>
      <c r="H1442" t="s">
        <v>74</v>
      </c>
      <c r="I1442" t="s">
        <v>20</v>
      </c>
      <c r="J1442">
        <v>2</v>
      </c>
      <c r="K1442" t="s">
        <v>4</v>
      </c>
      <c r="L1442" t="s">
        <v>40</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1527</v>
      </c>
      <c r="B1443" t="s">
        <v>17</v>
      </c>
      <c r="C1443">
        <v>2</v>
      </c>
      <c r="D1443">
        <v>19.8</v>
      </c>
      <c r="E1443">
        <v>39.6</v>
      </c>
      <c r="F1443" s="1">
        <v>45711</v>
      </c>
      <c r="G1443" s="1">
        <v>45715</v>
      </c>
      <c r="H1443" t="s">
        <v>12</v>
      </c>
      <c r="I1443" t="s">
        <v>55</v>
      </c>
      <c r="J1443">
        <v>3</v>
      </c>
      <c r="K1443" t="s">
        <v>4</v>
      </c>
      <c r="L1443" t="s">
        <v>47</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1528</v>
      </c>
      <c r="B1444" t="s">
        <v>27</v>
      </c>
      <c r="C1444">
        <v>1</v>
      </c>
      <c r="D1444">
        <v>41.1</v>
      </c>
      <c r="E1444">
        <v>41.1</v>
      </c>
      <c r="F1444" s="1">
        <v>45711</v>
      </c>
      <c r="G1444" s="1">
        <v>45713</v>
      </c>
      <c r="H1444" t="s">
        <v>12</v>
      </c>
      <c r="I1444" t="s">
        <v>3</v>
      </c>
      <c r="J1444">
        <v>5</v>
      </c>
      <c r="K1444" t="s">
        <v>4</v>
      </c>
      <c r="L1444" t="s">
        <v>47</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1529</v>
      </c>
      <c r="B1445" t="s">
        <v>52</v>
      </c>
      <c r="C1445">
        <v>8</v>
      </c>
      <c r="D1445">
        <v>43.5</v>
      </c>
      <c r="E1445">
        <v>348</v>
      </c>
      <c r="F1445" s="1">
        <v>45711</v>
      </c>
      <c r="G1445" s="1">
        <v>45715</v>
      </c>
      <c r="H1445" t="s">
        <v>12</v>
      </c>
      <c r="I1445" t="s">
        <v>36</v>
      </c>
      <c r="J1445">
        <v>4</v>
      </c>
      <c r="K1445" t="s">
        <v>4</v>
      </c>
      <c r="L1445" t="s">
        <v>47</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1530</v>
      </c>
      <c r="B1446" t="s">
        <v>29</v>
      </c>
      <c r="C1446">
        <v>14</v>
      </c>
      <c r="D1446">
        <v>19</v>
      </c>
      <c r="E1446">
        <v>266</v>
      </c>
      <c r="F1446" s="1">
        <v>45711</v>
      </c>
      <c r="G1446" s="1">
        <v>45712</v>
      </c>
      <c r="H1446" t="s">
        <v>8</v>
      </c>
      <c r="I1446" t="s">
        <v>3</v>
      </c>
      <c r="J1446">
        <v>4</v>
      </c>
      <c r="K1446" t="s">
        <v>4</v>
      </c>
      <c r="L1446" t="s">
        <v>186</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1531</v>
      </c>
      <c r="B1447" t="s">
        <v>11</v>
      </c>
      <c r="C1447">
        <v>4</v>
      </c>
      <c r="D1447">
        <v>51.4</v>
      </c>
      <c r="E1447">
        <v>205.6</v>
      </c>
      <c r="F1447" s="1">
        <v>45711</v>
      </c>
      <c r="G1447" s="1">
        <v>45711</v>
      </c>
      <c r="H1447" t="s">
        <v>12</v>
      </c>
      <c r="I1447" t="s">
        <v>3</v>
      </c>
      <c r="J1447">
        <v>4</v>
      </c>
      <c r="K1447" t="s">
        <v>4</v>
      </c>
      <c r="L1447" t="s">
        <v>186</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1532</v>
      </c>
      <c r="B1448" t="s">
        <v>39</v>
      </c>
      <c r="C1448">
        <v>2</v>
      </c>
      <c r="D1448">
        <v>39.799999999999997</v>
      </c>
      <c r="E1448">
        <v>79.599999999999994</v>
      </c>
      <c r="F1448" s="1">
        <v>45711</v>
      </c>
      <c r="G1448" s="1">
        <v>45714</v>
      </c>
      <c r="H1448" t="s">
        <v>8</v>
      </c>
      <c r="I1448" t="s">
        <v>36</v>
      </c>
      <c r="J1448">
        <v>3</v>
      </c>
      <c r="K1448" t="s">
        <v>4</v>
      </c>
      <c r="L1448" t="s">
        <v>67</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1533</v>
      </c>
      <c r="B1449" t="s">
        <v>24</v>
      </c>
      <c r="C1449">
        <v>5</v>
      </c>
      <c r="D1449">
        <v>61</v>
      </c>
      <c r="E1449">
        <v>305</v>
      </c>
      <c r="F1449" s="1">
        <v>45711</v>
      </c>
      <c r="G1449" s="1">
        <v>45712</v>
      </c>
      <c r="H1449" t="s">
        <v>2</v>
      </c>
      <c r="I1449" t="s">
        <v>3</v>
      </c>
      <c r="J1449">
        <v>5</v>
      </c>
      <c r="K1449" t="s">
        <v>4</v>
      </c>
      <c r="L1449" t="s">
        <v>100</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1534</v>
      </c>
      <c r="B1450" t="s">
        <v>29</v>
      </c>
      <c r="C1450">
        <v>11</v>
      </c>
      <c r="D1450">
        <v>15.1</v>
      </c>
      <c r="E1450">
        <v>166.1</v>
      </c>
      <c r="F1450" s="1">
        <v>45712</v>
      </c>
      <c r="G1450" s="1">
        <v>45717</v>
      </c>
      <c r="H1450" t="s">
        <v>8</v>
      </c>
      <c r="I1450" t="s">
        <v>36</v>
      </c>
      <c r="J1450">
        <v>5</v>
      </c>
      <c r="K1450" t="s">
        <v>4</v>
      </c>
      <c r="L1450" t="s">
        <v>13</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1535</v>
      </c>
      <c r="B1451" t="s">
        <v>7</v>
      </c>
      <c r="C1451">
        <v>7</v>
      </c>
      <c r="D1451">
        <v>71.3</v>
      </c>
      <c r="E1451">
        <v>499.09999999999997</v>
      </c>
      <c r="F1451" s="1">
        <v>45712</v>
      </c>
      <c r="G1451" s="1">
        <v>45713</v>
      </c>
      <c r="H1451" t="s">
        <v>8</v>
      </c>
      <c r="I1451" t="s">
        <v>55</v>
      </c>
      <c r="J1451">
        <v>4</v>
      </c>
      <c r="K1451" t="s">
        <v>4</v>
      </c>
      <c r="L1451" t="s">
        <v>18</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1536</v>
      </c>
      <c r="B1452" t="s">
        <v>39</v>
      </c>
      <c r="C1452">
        <v>1</v>
      </c>
      <c r="D1452">
        <v>25.8</v>
      </c>
      <c r="E1452">
        <v>25.8</v>
      </c>
      <c r="F1452" s="1">
        <v>45712</v>
      </c>
      <c r="G1452" s="1">
        <v>45714</v>
      </c>
      <c r="H1452" t="s">
        <v>12</v>
      </c>
      <c r="I1452" t="s">
        <v>3</v>
      </c>
      <c r="J1452">
        <v>5</v>
      </c>
      <c r="K1452" t="s">
        <v>4</v>
      </c>
      <c r="L1452" t="s">
        <v>18</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1537</v>
      </c>
      <c r="B1453" t="s">
        <v>29</v>
      </c>
      <c r="C1453">
        <v>5</v>
      </c>
      <c r="D1453">
        <v>39.6</v>
      </c>
      <c r="E1453">
        <v>198</v>
      </c>
      <c r="F1453" s="1">
        <v>45712</v>
      </c>
      <c r="G1453" s="1">
        <v>45714</v>
      </c>
      <c r="H1453" t="s">
        <v>8</v>
      </c>
      <c r="I1453" t="s">
        <v>20</v>
      </c>
      <c r="J1453">
        <v>5</v>
      </c>
      <c r="K1453" t="s">
        <v>4</v>
      </c>
      <c r="L1453" t="s">
        <v>18</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1538</v>
      </c>
      <c r="B1454" t="s">
        <v>22</v>
      </c>
      <c r="C1454">
        <v>2</v>
      </c>
      <c r="D1454">
        <v>64</v>
      </c>
      <c r="E1454">
        <v>128</v>
      </c>
      <c r="F1454" s="1">
        <v>45712</v>
      </c>
      <c r="G1454" s="1">
        <v>45712</v>
      </c>
      <c r="H1454" t="s">
        <v>8</v>
      </c>
      <c r="I1454" t="s">
        <v>20</v>
      </c>
      <c r="J1454">
        <v>3</v>
      </c>
      <c r="K1454" t="s">
        <v>4</v>
      </c>
      <c r="L1454" t="s">
        <v>18</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1539</v>
      </c>
      <c r="B1455" t="s">
        <v>29</v>
      </c>
      <c r="C1455">
        <v>2</v>
      </c>
      <c r="D1455">
        <v>30.6</v>
      </c>
      <c r="E1455">
        <v>61.2</v>
      </c>
      <c r="F1455" s="1">
        <v>45712</v>
      </c>
      <c r="G1455" s="1">
        <v>45715</v>
      </c>
      <c r="H1455" t="s">
        <v>8</v>
      </c>
      <c r="I1455" t="s">
        <v>3</v>
      </c>
      <c r="J1455">
        <v>5</v>
      </c>
      <c r="K1455" t="s">
        <v>4</v>
      </c>
      <c r="L1455" t="s">
        <v>18</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1540</v>
      </c>
      <c r="B1456" t="s">
        <v>29</v>
      </c>
      <c r="C1456">
        <v>2</v>
      </c>
      <c r="D1456">
        <v>21.3</v>
      </c>
      <c r="E1456">
        <v>42.6</v>
      </c>
      <c r="F1456" s="1">
        <v>45712</v>
      </c>
      <c r="G1456" s="1">
        <v>45713</v>
      </c>
      <c r="H1456" t="s">
        <v>8</v>
      </c>
      <c r="I1456" t="s">
        <v>3</v>
      </c>
      <c r="J1456">
        <v>3</v>
      </c>
      <c r="K1456" t="s">
        <v>4</v>
      </c>
      <c r="L1456" t="s">
        <v>18</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1541</v>
      </c>
      <c r="B1457" t="s">
        <v>27</v>
      </c>
      <c r="C1457">
        <v>1</v>
      </c>
      <c r="D1457">
        <v>40.799999999999997</v>
      </c>
      <c r="E1457">
        <v>40.799999999999997</v>
      </c>
      <c r="F1457" s="1">
        <v>45712</v>
      </c>
      <c r="G1457" s="1">
        <v>45714</v>
      </c>
      <c r="H1457" t="s">
        <v>12</v>
      </c>
      <c r="I1457" t="s">
        <v>55</v>
      </c>
      <c r="J1457">
        <v>4</v>
      </c>
      <c r="K1457" t="s">
        <v>4</v>
      </c>
      <c r="L1457" t="s">
        <v>18</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1542</v>
      </c>
      <c r="B1458" t="s">
        <v>31</v>
      </c>
      <c r="C1458">
        <v>4</v>
      </c>
      <c r="D1458">
        <v>27.7</v>
      </c>
      <c r="E1458">
        <v>110.8</v>
      </c>
      <c r="F1458" s="1">
        <v>45712</v>
      </c>
      <c r="G1458" s="1">
        <v>45713</v>
      </c>
      <c r="H1458" t="s">
        <v>12</v>
      </c>
      <c r="I1458" t="s">
        <v>3</v>
      </c>
      <c r="J1458">
        <v>3</v>
      </c>
      <c r="K1458" t="s">
        <v>4</v>
      </c>
      <c r="L1458" t="s">
        <v>18</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1543</v>
      </c>
      <c r="B1459" t="s">
        <v>24</v>
      </c>
      <c r="C1459">
        <v>2</v>
      </c>
      <c r="D1459">
        <v>64.599999999999994</v>
      </c>
      <c r="E1459">
        <v>129.19999999999999</v>
      </c>
      <c r="F1459" s="1">
        <v>45712</v>
      </c>
      <c r="G1459" s="1">
        <v>45713</v>
      </c>
      <c r="H1459" t="s">
        <v>8</v>
      </c>
      <c r="I1459" t="s">
        <v>3</v>
      </c>
      <c r="J1459">
        <v>3</v>
      </c>
      <c r="K1459" t="s">
        <v>4</v>
      </c>
      <c r="L1459" t="s">
        <v>18</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1544</v>
      </c>
      <c r="B1460" t="s">
        <v>24</v>
      </c>
      <c r="C1460">
        <v>16</v>
      </c>
      <c r="D1460">
        <v>91.1</v>
      </c>
      <c r="E1460">
        <v>1457.6</v>
      </c>
      <c r="F1460" s="1">
        <v>45712</v>
      </c>
      <c r="G1460" s="1">
        <v>45713</v>
      </c>
      <c r="H1460" t="s">
        <v>12</v>
      </c>
      <c r="I1460" t="s">
        <v>20</v>
      </c>
      <c r="J1460">
        <v>5</v>
      </c>
      <c r="K1460" t="s">
        <v>4</v>
      </c>
      <c r="L1460" t="s">
        <v>18</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1545</v>
      </c>
      <c r="B1461" t="s">
        <v>7</v>
      </c>
      <c r="C1461">
        <v>1</v>
      </c>
      <c r="D1461">
        <v>39.5</v>
      </c>
      <c r="E1461">
        <v>39.5</v>
      </c>
      <c r="F1461" s="1">
        <v>45712</v>
      </c>
      <c r="G1461" s="1">
        <v>45720</v>
      </c>
      <c r="H1461" t="s">
        <v>12</v>
      </c>
      <c r="I1461" t="s">
        <v>3</v>
      </c>
      <c r="J1461">
        <v>4</v>
      </c>
      <c r="K1461" t="s">
        <v>4</v>
      </c>
      <c r="L1461" t="s">
        <v>18</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1546</v>
      </c>
      <c r="B1462" t="s">
        <v>31</v>
      </c>
      <c r="C1462">
        <v>2</v>
      </c>
      <c r="D1462">
        <v>21.8</v>
      </c>
      <c r="E1462">
        <v>43.6</v>
      </c>
      <c r="F1462" s="1">
        <v>45712</v>
      </c>
      <c r="G1462" s="1">
        <v>45716</v>
      </c>
      <c r="H1462" t="s">
        <v>8</v>
      </c>
      <c r="I1462" t="s">
        <v>55</v>
      </c>
      <c r="J1462">
        <v>5</v>
      </c>
      <c r="K1462" t="s">
        <v>4</v>
      </c>
      <c r="L1462" t="s">
        <v>18</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1547</v>
      </c>
      <c r="B1463" t="s">
        <v>29</v>
      </c>
      <c r="C1463">
        <v>2</v>
      </c>
      <c r="D1463">
        <v>51</v>
      </c>
      <c r="E1463">
        <v>102</v>
      </c>
      <c r="F1463" s="1">
        <v>45712</v>
      </c>
      <c r="G1463" s="1">
        <v>45715</v>
      </c>
      <c r="H1463" t="s">
        <v>8</v>
      </c>
      <c r="I1463" t="s">
        <v>36</v>
      </c>
      <c r="J1463">
        <v>5</v>
      </c>
      <c r="K1463" t="s">
        <v>4</v>
      </c>
      <c r="L1463" t="s">
        <v>18</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1548</v>
      </c>
      <c r="B1464" t="s">
        <v>11</v>
      </c>
      <c r="C1464">
        <v>1</v>
      </c>
      <c r="D1464">
        <v>92.6</v>
      </c>
      <c r="E1464">
        <v>92.6</v>
      </c>
      <c r="F1464" s="1">
        <v>45712</v>
      </c>
      <c r="G1464" s="1">
        <v>45715</v>
      </c>
      <c r="H1464" t="s">
        <v>12</v>
      </c>
      <c r="I1464" t="s">
        <v>3</v>
      </c>
      <c r="J1464">
        <v>5</v>
      </c>
      <c r="K1464" t="s">
        <v>4</v>
      </c>
      <c r="L1464" t="s">
        <v>323</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1549</v>
      </c>
      <c r="B1465" t="s">
        <v>31</v>
      </c>
      <c r="C1465">
        <v>2</v>
      </c>
      <c r="D1465">
        <v>31.1</v>
      </c>
      <c r="E1465">
        <v>62.2</v>
      </c>
      <c r="F1465" s="1">
        <v>45712</v>
      </c>
      <c r="G1465" s="1">
        <v>45717</v>
      </c>
      <c r="H1465" t="s">
        <v>2</v>
      </c>
      <c r="I1465" t="s">
        <v>20</v>
      </c>
      <c r="J1465">
        <v>1</v>
      </c>
      <c r="K1465" t="s">
        <v>4</v>
      </c>
      <c r="L1465" t="s">
        <v>143</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1550</v>
      </c>
      <c r="B1466" t="s">
        <v>22</v>
      </c>
      <c r="C1466">
        <v>3</v>
      </c>
      <c r="D1466">
        <v>56.4</v>
      </c>
      <c r="E1466">
        <v>169.2</v>
      </c>
      <c r="F1466" s="1">
        <v>45712</v>
      </c>
      <c r="G1466" s="1">
        <v>45713</v>
      </c>
      <c r="H1466" t="s">
        <v>2</v>
      </c>
      <c r="I1466" t="s">
        <v>20</v>
      </c>
      <c r="J1466">
        <v>4</v>
      </c>
      <c r="K1466" t="s">
        <v>4</v>
      </c>
      <c r="L1466" t="s">
        <v>40</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1551</v>
      </c>
      <c r="B1467" t="s">
        <v>31</v>
      </c>
      <c r="C1467">
        <v>1</v>
      </c>
      <c r="D1467">
        <v>41.9</v>
      </c>
      <c r="E1467">
        <v>41.9</v>
      </c>
      <c r="F1467" s="1">
        <v>45712</v>
      </c>
      <c r="G1467" s="1">
        <v>45712</v>
      </c>
      <c r="H1467" t="s">
        <v>8</v>
      </c>
      <c r="I1467" t="s">
        <v>20</v>
      </c>
      <c r="J1467">
        <v>4</v>
      </c>
      <c r="K1467" t="s">
        <v>4</v>
      </c>
      <c r="L1467" t="s">
        <v>40</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1552</v>
      </c>
      <c r="B1468" t="s">
        <v>39</v>
      </c>
      <c r="C1468">
        <v>7</v>
      </c>
      <c r="D1468">
        <v>45.9</v>
      </c>
      <c r="E1468">
        <v>321.3</v>
      </c>
      <c r="F1468" s="1">
        <v>45712</v>
      </c>
      <c r="G1468" s="1">
        <v>45713</v>
      </c>
      <c r="H1468" t="s">
        <v>8</v>
      </c>
      <c r="I1468" t="s">
        <v>36</v>
      </c>
      <c r="J1468">
        <v>5</v>
      </c>
      <c r="K1468" t="s">
        <v>4</v>
      </c>
      <c r="L1468" t="s">
        <v>47</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1553</v>
      </c>
      <c r="B1469" t="s">
        <v>66</v>
      </c>
      <c r="C1469">
        <v>9</v>
      </c>
      <c r="D1469">
        <v>24.4</v>
      </c>
      <c r="E1469">
        <v>219.6</v>
      </c>
      <c r="F1469" s="1">
        <v>45712</v>
      </c>
      <c r="G1469" s="1">
        <v>45716</v>
      </c>
      <c r="H1469" t="s">
        <v>8</v>
      </c>
      <c r="I1469" t="s">
        <v>36</v>
      </c>
      <c r="J1469">
        <v>5</v>
      </c>
      <c r="K1469" t="s">
        <v>4</v>
      </c>
      <c r="L1469" t="s">
        <v>47</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1554</v>
      </c>
      <c r="B1470" t="s">
        <v>29</v>
      </c>
      <c r="C1470">
        <v>1</v>
      </c>
      <c r="D1470">
        <v>18.2</v>
      </c>
      <c r="E1470">
        <v>18.2</v>
      </c>
      <c r="F1470" s="1">
        <v>45712</v>
      </c>
      <c r="G1470" s="1">
        <v>45713</v>
      </c>
      <c r="H1470" t="s">
        <v>12</v>
      </c>
      <c r="I1470" t="s">
        <v>25</v>
      </c>
      <c r="J1470">
        <v>5</v>
      </c>
      <c r="K1470" t="s">
        <v>4</v>
      </c>
      <c r="L1470" t="s">
        <v>47</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1555</v>
      </c>
      <c r="B1471" t="s">
        <v>29</v>
      </c>
      <c r="C1471">
        <v>4</v>
      </c>
      <c r="D1471">
        <v>51.2</v>
      </c>
      <c r="E1471">
        <v>204.8</v>
      </c>
      <c r="F1471" s="1">
        <v>45712</v>
      </c>
      <c r="G1471" s="1">
        <v>45713</v>
      </c>
      <c r="H1471" t="s">
        <v>12</v>
      </c>
      <c r="I1471" t="s">
        <v>3</v>
      </c>
      <c r="J1471">
        <v>4</v>
      </c>
      <c r="K1471" t="s">
        <v>4</v>
      </c>
      <c r="L1471" t="s">
        <v>47</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1556</v>
      </c>
      <c r="B1472" t="s">
        <v>24</v>
      </c>
      <c r="C1472">
        <v>1</v>
      </c>
      <c r="D1472">
        <v>59.7</v>
      </c>
      <c r="E1472">
        <v>59.7</v>
      </c>
      <c r="F1472" s="1">
        <v>45712</v>
      </c>
      <c r="G1472" s="1">
        <v>45715</v>
      </c>
      <c r="H1472" t="s">
        <v>8</v>
      </c>
      <c r="I1472" t="s">
        <v>3</v>
      </c>
      <c r="J1472">
        <v>5</v>
      </c>
      <c r="K1472" t="s">
        <v>4</v>
      </c>
      <c r="L1472" t="s">
        <v>47</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1557</v>
      </c>
      <c r="B1473" t="s">
        <v>17</v>
      </c>
      <c r="C1473">
        <v>2</v>
      </c>
      <c r="D1473">
        <v>33.6</v>
      </c>
      <c r="E1473">
        <v>67.2</v>
      </c>
      <c r="F1473" s="1">
        <v>45712</v>
      </c>
      <c r="G1473" s="1">
        <v>45714</v>
      </c>
      <c r="H1473" t="s">
        <v>12</v>
      </c>
      <c r="I1473" t="s">
        <v>3</v>
      </c>
      <c r="J1473">
        <v>4</v>
      </c>
      <c r="K1473" t="s">
        <v>4</v>
      </c>
      <c r="L1473" t="s">
        <v>88</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1558</v>
      </c>
      <c r="B1474" t="s">
        <v>54</v>
      </c>
      <c r="C1474">
        <v>1</v>
      </c>
      <c r="D1474">
        <v>90.4</v>
      </c>
      <c r="E1474">
        <v>90.4</v>
      </c>
      <c r="F1474" s="1">
        <v>45712</v>
      </c>
      <c r="G1474" s="1">
        <v>45716</v>
      </c>
      <c r="H1474" t="s">
        <v>8</v>
      </c>
      <c r="I1474" t="s">
        <v>20</v>
      </c>
      <c r="J1474">
        <v>5</v>
      </c>
      <c r="K1474" t="s">
        <v>4</v>
      </c>
      <c r="L1474" t="s">
        <v>59</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1559</v>
      </c>
      <c r="B1475" t="s">
        <v>52</v>
      </c>
      <c r="C1475">
        <v>3</v>
      </c>
      <c r="D1475">
        <v>70.3</v>
      </c>
      <c r="E1475">
        <v>210.89999999999998</v>
      </c>
      <c r="F1475" s="1">
        <v>45712</v>
      </c>
      <c r="G1475" s="1">
        <v>45712</v>
      </c>
      <c r="H1475" t="s">
        <v>8</v>
      </c>
      <c r="I1475" t="s">
        <v>20</v>
      </c>
      <c r="J1475">
        <v>5</v>
      </c>
      <c r="K1475" t="s">
        <v>4</v>
      </c>
      <c r="L1475" t="s">
        <v>62</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1560</v>
      </c>
      <c r="B1476" t="s">
        <v>17</v>
      </c>
      <c r="C1476">
        <v>2</v>
      </c>
      <c r="D1476">
        <v>20.5</v>
      </c>
      <c r="E1476">
        <v>41</v>
      </c>
      <c r="F1476" s="1">
        <v>45712</v>
      </c>
      <c r="G1476" s="1">
        <v>45715</v>
      </c>
      <c r="H1476" t="s">
        <v>12</v>
      </c>
      <c r="I1476" t="s">
        <v>3</v>
      </c>
      <c r="J1476">
        <v>3</v>
      </c>
      <c r="K1476" t="s">
        <v>4</v>
      </c>
      <c r="L1476" t="s">
        <v>62</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1561</v>
      </c>
      <c r="B1477" t="s">
        <v>22</v>
      </c>
      <c r="C1477">
        <v>11</v>
      </c>
      <c r="D1477">
        <v>37.6</v>
      </c>
      <c r="E1477">
        <v>413.6</v>
      </c>
      <c r="F1477" s="1">
        <v>45712</v>
      </c>
      <c r="G1477" s="1">
        <v>45713</v>
      </c>
      <c r="H1477" t="s">
        <v>8</v>
      </c>
      <c r="I1477" t="s">
        <v>3</v>
      </c>
      <c r="J1477">
        <v>4</v>
      </c>
      <c r="K1477" t="s">
        <v>4</v>
      </c>
      <c r="L1477" t="s">
        <v>362</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1562</v>
      </c>
      <c r="B1478" t="s">
        <v>22</v>
      </c>
      <c r="C1478">
        <v>4</v>
      </c>
      <c r="D1478">
        <v>61.5</v>
      </c>
      <c r="E1478">
        <v>246</v>
      </c>
      <c r="F1478" s="1">
        <v>45712</v>
      </c>
      <c r="G1478" s="1">
        <v>45719</v>
      </c>
      <c r="H1478" t="s">
        <v>12</v>
      </c>
      <c r="I1478" t="s">
        <v>20</v>
      </c>
      <c r="J1478">
        <v>2</v>
      </c>
      <c r="K1478" t="s">
        <v>4</v>
      </c>
      <c r="L1478" t="s">
        <v>67</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1563</v>
      </c>
      <c r="B1479" t="s">
        <v>31</v>
      </c>
      <c r="C1479">
        <v>1</v>
      </c>
      <c r="D1479">
        <v>33.5</v>
      </c>
      <c r="E1479">
        <v>33.5</v>
      </c>
      <c r="F1479" s="1">
        <v>45713</v>
      </c>
      <c r="G1479" s="1">
        <v>45717</v>
      </c>
      <c r="H1479" t="s">
        <v>8</v>
      </c>
      <c r="I1479" t="s">
        <v>55</v>
      </c>
      <c r="J1479">
        <v>3</v>
      </c>
      <c r="K1479" t="s">
        <v>4</v>
      </c>
      <c r="L1479" t="s">
        <v>100</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1564</v>
      </c>
      <c r="B1480" t="s">
        <v>17</v>
      </c>
      <c r="C1480">
        <v>3</v>
      </c>
      <c r="D1480">
        <v>29.3</v>
      </c>
      <c r="E1480">
        <v>87.9</v>
      </c>
      <c r="F1480" s="1">
        <v>45713</v>
      </c>
      <c r="G1480" s="1">
        <v>45715</v>
      </c>
      <c r="H1480" t="s">
        <v>12</v>
      </c>
      <c r="I1480" t="s">
        <v>20</v>
      </c>
      <c r="J1480">
        <v>5</v>
      </c>
      <c r="K1480" t="s">
        <v>4</v>
      </c>
      <c r="L1480" t="s">
        <v>9</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1565</v>
      </c>
      <c r="B1481" t="s">
        <v>11</v>
      </c>
      <c r="C1481">
        <v>2</v>
      </c>
      <c r="D1481">
        <v>125.9</v>
      </c>
      <c r="E1481">
        <v>251.8</v>
      </c>
      <c r="F1481" s="1">
        <v>45713</v>
      </c>
      <c r="G1481" s="1">
        <v>45718</v>
      </c>
      <c r="H1481" t="s">
        <v>12</v>
      </c>
      <c r="I1481" t="s">
        <v>55</v>
      </c>
      <c r="J1481">
        <v>3</v>
      </c>
      <c r="K1481" t="s">
        <v>4</v>
      </c>
      <c r="L1481" t="s">
        <v>9</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1566</v>
      </c>
      <c r="B1482" t="s">
        <v>22</v>
      </c>
      <c r="C1482">
        <v>5</v>
      </c>
      <c r="D1482">
        <v>29.3</v>
      </c>
      <c r="E1482">
        <v>146.5</v>
      </c>
      <c r="F1482" s="1">
        <v>45713</v>
      </c>
      <c r="G1482" s="1">
        <v>45713</v>
      </c>
      <c r="H1482" t="s">
        <v>8</v>
      </c>
      <c r="I1482" t="s">
        <v>25</v>
      </c>
      <c r="J1482">
        <v>4</v>
      </c>
      <c r="K1482" t="s">
        <v>4</v>
      </c>
      <c r="L1482" t="s">
        <v>572</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1567</v>
      </c>
      <c r="B1483" t="s">
        <v>31</v>
      </c>
      <c r="C1483">
        <v>1</v>
      </c>
      <c r="D1483">
        <v>37.799999999999997</v>
      </c>
      <c r="E1483">
        <v>37.799999999999997</v>
      </c>
      <c r="F1483" s="1">
        <v>45713</v>
      </c>
      <c r="G1483" s="1">
        <v>45716</v>
      </c>
      <c r="H1483" t="s">
        <v>12</v>
      </c>
      <c r="I1483" t="s">
        <v>3</v>
      </c>
      <c r="J1483">
        <v>5</v>
      </c>
      <c r="K1483" t="s">
        <v>4</v>
      </c>
      <c r="L1483" t="s">
        <v>18</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1568</v>
      </c>
      <c r="B1484" t="s">
        <v>1</v>
      </c>
      <c r="C1484">
        <v>4</v>
      </c>
      <c r="D1484">
        <v>31.7</v>
      </c>
      <c r="E1484">
        <v>126.8</v>
      </c>
      <c r="F1484" s="1">
        <v>45713</v>
      </c>
      <c r="G1484" s="1">
        <v>45714</v>
      </c>
      <c r="H1484" t="s">
        <v>8</v>
      </c>
      <c r="I1484" t="s">
        <v>25</v>
      </c>
      <c r="J1484">
        <v>5</v>
      </c>
      <c r="K1484" t="s">
        <v>4</v>
      </c>
      <c r="L1484" t="s">
        <v>18</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1569</v>
      </c>
      <c r="B1485" t="s">
        <v>29</v>
      </c>
      <c r="C1485">
        <v>5</v>
      </c>
      <c r="D1485">
        <v>26.3</v>
      </c>
      <c r="E1485">
        <v>131.5</v>
      </c>
      <c r="F1485" s="1">
        <v>45713</v>
      </c>
      <c r="G1485" s="1">
        <v>45714</v>
      </c>
      <c r="H1485" t="s">
        <v>12</v>
      </c>
      <c r="I1485" t="s">
        <v>36</v>
      </c>
      <c r="J1485">
        <v>5</v>
      </c>
      <c r="K1485" t="s">
        <v>4</v>
      </c>
      <c r="L1485" t="s">
        <v>18</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1570</v>
      </c>
      <c r="B1486" t="s">
        <v>29</v>
      </c>
      <c r="C1486">
        <v>3</v>
      </c>
      <c r="D1486">
        <v>23.1</v>
      </c>
      <c r="E1486">
        <v>69.300000000000011</v>
      </c>
      <c r="F1486" s="1">
        <v>45713</v>
      </c>
      <c r="G1486" s="1">
        <v>45714</v>
      </c>
      <c r="H1486" t="s">
        <v>74</v>
      </c>
      <c r="I1486" t="s">
        <v>25</v>
      </c>
      <c r="J1486">
        <v>3</v>
      </c>
      <c r="K1486" t="s">
        <v>4</v>
      </c>
      <c r="L1486" t="s">
        <v>18</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1571</v>
      </c>
      <c r="B1487" t="s">
        <v>17</v>
      </c>
      <c r="C1487">
        <v>1</v>
      </c>
      <c r="D1487">
        <v>22.3</v>
      </c>
      <c r="E1487">
        <v>22.3</v>
      </c>
      <c r="F1487" s="1">
        <v>45713</v>
      </c>
      <c r="G1487" s="1">
        <v>45715</v>
      </c>
      <c r="H1487" t="s">
        <v>12</v>
      </c>
      <c r="I1487" t="s">
        <v>25</v>
      </c>
      <c r="J1487">
        <v>4</v>
      </c>
      <c r="K1487" t="s">
        <v>4</v>
      </c>
      <c r="L1487" t="s">
        <v>18</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1572</v>
      </c>
      <c r="B1488" t="s">
        <v>54</v>
      </c>
      <c r="C1488">
        <v>2</v>
      </c>
      <c r="D1488">
        <v>99.5</v>
      </c>
      <c r="E1488">
        <v>199</v>
      </c>
      <c r="F1488" s="1">
        <v>45713</v>
      </c>
      <c r="G1488" s="1">
        <v>45715</v>
      </c>
      <c r="H1488" t="s">
        <v>12</v>
      </c>
      <c r="I1488" t="s">
        <v>25</v>
      </c>
      <c r="J1488">
        <v>4</v>
      </c>
      <c r="K1488" t="s">
        <v>4</v>
      </c>
      <c r="L1488" t="s">
        <v>18</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1573</v>
      </c>
      <c r="B1489" t="s">
        <v>54</v>
      </c>
      <c r="C1489">
        <v>4</v>
      </c>
      <c r="D1489">
        <v>47.4</v>
      </c>
      <c r="E1489">
        <v>189.6</v>
      </c>
      <c r="F1489" s="1">
        <v>45713</v>
      </c>
      <c r="G1489" s="1">
        <v>45716</v>
      </c>
      <c r="H1489" t="s">
        <v>12</v>
      </c>
      <c r="I1489" t="s">
        <v>20</v>
      </c>
      <c r="J1489">
        <v>4</v>
      </c>
      <c r="K1489" t="s">
        <v>4</v>
      </c>
      <c r="L1489" t="s">
        <v>18</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1574</v>
      </c>
      <c r="B1490" t="s">
        <v>1</v>
      </c>
      <c r="C1490">
        <v>11</v>
      </c>
      <c r="D1490">
        <v>37.5</v>
      </c>
      <c r="E1490">
        <v>412.5</v>
      </c>
      <c r="F1490" s="1">
        <v>45713</v>
      </c>
      <c r="G1490" s="1">
        <v>45715</v>
      </c>
      <c r="H1490" t="s">
        <v>12</v>
      </c>
      <c r="I1490" t="s">
        <v>3</v>
      </c>
      <c r="J1490">
        <v>1</v>
      </c>
      <c r="K1490" t="s">
        <v>4</v>
      </c>
      <c r="L1490" t="s">
        <v>18</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1575</v>
      </c>
      <c r="B1491" t="s">
        <v>39</v>
      </c>
      <c r="C1491">
        <v>1</v>
      </c>
      <c r="D1491">
        <v>45.1</v>
      </c>
      <c r="E1491">
        <v>45.1</v>
      </c>
      <c r="F1491" s="1">
        <v>45713</v>
      </c>
      <c r="G1491" s="1">
        <v>45718</v>
      </c>
      <c r="H1491" t="s">
        <v>8</v>
      </c>
      <c r="I1491" t="s">
        <v>36</v>
      </c>
      <c r="J1491">
        <v>5</v>
      </c>
      <c r="K1491" t="s">
        <v>4</v>
      </c>
      <c r="L1491" t="s">
        <v>171</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1576</v>
      </c>
      <c r="B1492" t="s">
        <v>22</v>
      </c>
      <c r="C1492">
        <v>10</v>
      </c>
      <c r="D1492">
        <v>34.4</v>
      </c>
      <c r="E1492">
        <v>344</v>
      </c>
      <c r="F1492" s="1">
        <v>45713</v>
      </c>
      <c r="G1492" s="1">
        <v>45716</v>
      </c>
      <c r="H1492" t="s">
        <v>8</v>
      </c>
      <c r="I1492" t="s">
        <v>25</v>
      </c>
      <c r="J1492">
        <v>4</v>
      </c>
      <c r="K1492" t="s">
        <v>4</v>
      </c>
      <c r="L1492" t="s">
        <v>83</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1577</v>
      </c>
      <c r="B1493" t="s">
        <v>17</v>
      </c>
      <c r="C1493">
        <v>2</v>
      </c>
      <c r="D1493">
        <v>38</v>
      </c>
      <c r="E1493">
        <v>76</v>
      </c>
      <c r="F1493" s="1">
        <v>45713</v>
      </c>
      <c r="G1493" s="1">
        <v>45715</v>
      </c>
      <c r="H1493" t="s">
        <v>12</v>
      </c>
      <c r="I1493" t="s">
        <v>20</v>
      </c>
      <c r="J1493">
        <v>4</v>
      </c>
      <c r="K1493" t="s">
        <v>4</v>
      </c>
      <c r="L1493" t="s">
        <v>37</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1578</v>
      </c>
      <c r="B1494" t="s">
        <v>15</v>
      </c>
      <c r="C1494">
        <v>14</v>
      </c>
      <c r="D1494">
        <v>32.4</v>
      </c>
      <c r="E1494">
        <v>453.59999999999997</v>
      </c>
      <c r="F1494" s="1">
        <v>45713</v>
      </c>
      <c r="G1494" s="1">
        <v>45716</v>
      </c>
      <c r="H1494" t="s">
        <v>8</v>
      </c>
      <c r="I1494" t="s">
        <v>55</v>
      </c>
      <c r="J1494">
        <v>4</v>
      </c>
      <c r="K1494" t="s">
        <v>4</v>
      </c>
      <c r="L1494" t="s">
        <v>40</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1579</v>
      </c>
      <c r="B1495" t="s">
        <v>24</v>
      </c>
      <c r="C1495">
        <v>3</v>
      </c>
      <c r="D1495">
        <v>40.9</v>
      </c>
      <c r="E1495">
        <v>122.69999999999999</v>
      </c>
      <c r="F1495" s="1">
        <v>45713</v>
      </c>
      <c r="G1495" s="1">
        <v>45713</v>
      </c>
      <c r="H1495" t="s">
        <v>2</v>
      </c>
      <c r="I1495" t="s">
        <v>20</v>
      </c>
      <c r="J1495">
        <v>4</v>
      </c>
      <c r="K1495" t="s">
        <v>4</v>
      </c>
      <c r="L1495" t="s">
        <v>47</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1580</v>
      </c>
      <c r="B1496" t="s">
        <v>27</v>
      </c>
      <c r="C1496">
        <v>7</v>
      </c>
      <c r="D1496">
        <v>76.2</v>
      </c>
      <c r="E1496">
        <v>533.4</v>
      </c>
      <c r="F1496" s="1">
        <v>45713</v>
      </c>
      <c r="G1496" s="1">
        <v>45715</v>
      </c>
      <c r="H1496" t="s">
        <v>12</v>
      </c>
      <c r="I1496" t="s">
        <v>25</v>
      </c>
      <c r="J1496">
        <v>3</v>
      </c>
      <c r="K1496" t="s">
        <v>4</v>
      </c>
      <c r="L1496" t="s">
        <v>47</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1581</v>
      </c>
      <c r="B1497" t="s">
        <v>11</v>
      </c>
      <c r="C1497">
        <v>1</v>
      </c>
      <c r="D1497">
        <v>85.6</v>
      </c>
      <c r="E1497">
        <v>85.6</v>
      </c>
      <c r="F1497" s="1">
        <v>45713</v>
      </c>
      <c r="G1497" s="1">
        <v>45715</v>
      </c>
      <c r="H1497" t="s">
        <v>8</v>
      </c>
      <c r="I1497" t="s">
        <v>25</v>
      </c>
      <c r="J1497">
        <v>4</v>
      </c>
      <c r="K1497" t="s">
        <v>4</v>
      </c>
      <c r="L1497" t="s">
        <v>47</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1582</v>
      </c>
      <c r="B1498" t="s">
        <v>17</v>
      </c>
      <c r="C1498">
        <v>4</v>
      </c>
      <c r="D1498">
        <v>25</v>
      </c>
      <c r="E1498">
        <v>100</v>
      </c>
      <c r="F1498" s="1">
        <v>45713</v>
      </c>
      <c r="G1498" s="1">
        <v>45715</v>
      </c>
      <c r="H1498" t="s">
        <v>12</v>
      </c>
      <c r="I1498" t="s">
        <v>25</v>
      </c>
      <c r="J1498">
        <v>5</v>
      </c>
      <c r="K1498" t="s">
        <v>4</v>
      </c>
      <c r="L1498" t="s">
        <v>47</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1583</v>
      </c>
      <c r="B1499" t="s">
        <v>11</v>
      </c>
      <c r="C1499">
        <v>5</v>
      </c>
      <c r="D1499">
        <v>150.69999999999999</v>
      </c>
      <c r="E1499">
        <v>753.5</v>
      </c>
      <c r="F1499" s="1">
        <v>45713</v>
      </c>
      <c r="G1499" s="1">
        <v>45714</v>
      </c>
      <c r="H1499" t="s">
        <v>2</v>
      </c>
      <c r="I1499" t="s">
        <v>3</v>
      </c>
      <c r="J1499">
        <v>5</v>
      </c>
      <c r="K1499" t="s">
        <v>4</v>
      </c>
      <c r="L1499" t="s">
        <v>47</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1584</v>
      </c>
      <c r="B1500" t="s">
        <v>29</v>
      </c>
      <c r="C1500">
        <v>1</v>
      </c>
      <c r="D1500">
        <v>19.600000000000001</v>
      </c>
      <c r="E1500">
        <v>19.600000000000001</v>
      </c>
      <c r="F1500" s="1">
        <v>45713</v>
      </c>
      <c r="G1500" s="1">
        <v>45714</v>
      </c>
      <c r="H1500" t="s">
        <v>8</v>
      </c>
      <c r="I1500" t="s">
        <v>20</v>
      </c>
      <c r="J1500">
        <v>2</v>
      </c>
      <c r="K1500" t="s">
        <v>4</v>
      </c>
      <c r="L1500" t="s">
        <v>47</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1585</v>
      </c>
      <c r="B1501" t="s">
        <v>61</v>
      </c>
      <c r="C1501">
        <v>2</v>
      </c>
      <c r="D1501">
        <v>37.5</v>
      </c>
      <c r="E1501">
        <v>75</v>
      </c>
      <c r="F1501" s="1">
        <v>45713</v>
      </c>
      <c r="G1501" s="1">
        <v>45716</v>
      </c>
      <c r="H1501" t="s">
        <v>12</v>
      </c>
      <c r="I1501" t="s">
        <v>20</v>
      </c>
      <c r="J1501">
        <v>5</v>
      </c>
      <c r="K1501" t="s">
        <v>4</v>
      </c>
      <c r="L1501" t="s">
        <v>88</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1586</v>
      </c>
      <c r="B1502" t="s">
        <v>31</v>
      </c>
      <c r="C1502">
        <v>3</v>
      </c>
      <c r="D1502">
        <v>51.9</v>
      </c>
      <c r="E1502">
        <v>155.69999999999999</v>
      </c>
      <c r="F1502" s="1">
        <v>45713</v>
      </c>
      <c r="G1502" s="1">
        <v>45719</v>
      </c>
      <c r="H1502" t="s">
        <v>12</v>
      </c>
      <c r="I1502" t="s">
        <v>3</v>
      </c>
      <c r="J1502">
        <v>2</v>
      </c>
      <c r="K1502" t="s">
        <v>4</v>
      </c>
      <c r="L1502" t="s">
        <v>62</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1587</v>
      </c>
      <c r="B1503" t="s">
        <v>7</v>
      </c>
      <c r="C1503">
        <v>2</v>
      </c>
      <c r="D1503">
        <v>30.9</v>
      </c>
      <c r="E1503">
        <v>61.8</v>
      </c>
      <c r="F1503" s="1">
        <v>45713</v>
      </c>
      <c r="G1503" s="1">
        <v>45715</v>
      </c>
      <c r="H1503" t="s">
        <v>12</v>
      </c>
      <c r="I1503" t="s">
        <v>20</v>
      </c>
      <c r="J1503">
        <v>4</v>
      </c>
      <c r="K1503" t="s">
        <v>4</v>
      </c>
      <c r="L1503" t="s">
        <v>93</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1588</v>
      </c>
      <c r="B1504" t="s">
        <v>17</v>
      </c>
      <c r="C1504">
        <v>3</v>
      </c>
      <c r="D1504">
        <v>21.2</v>
      </c>
      <c r="E1504">
        <v>63.599999999999994</v>
      </c>
      <c r="F1504" s="1">
        <v>45713</v>
      </c>
      <c r="G1504" s="1">
        <v>45716</v>
      </c>
      <c r="H1504" t="s">
        <v>12</v>
      </c>
      <c r="I1504" t="s">
        <v>20</v>
      </c>
      <c r="J1504">
        <v>4</v>
      </c>
      <c r="K1504" t="s">
        <v>4</v>
      </c>
      <c r="L1504" t="s">
        <v>95</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1589</v>
      </c>
      <c r="B1505" t="s">
        <v>61</v>
      </c>
      <c r="C1505">
        <v>17</v>
      </c>
      <c r="D1505">
        <v>17.5</v>
      </c>
      <c r="E1505">
        <v>297.5</v>
      </c>
      <c r="F1505" s="1">
        <v>45713</v>
      </c>
      <c r="G1505" s="1">
        <v>45714</v>
      </c>
      <c r="H1505" t="s">
        <v>8</v>
      </c>
      <c r="I1505" t="s">
        <v>20</v>
      </c>
      <c r="J1505">
        <v>3</v>
      </c>
      <c r="K1505" t="s">
        <v>4</v>
      </c>
      <c r="L1505" t="s">
        <v>67</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1590</v>
      </c>
      <c r="B1506" t="s">
        <v>54</v>
      </c>
      <c r="C1506">
        <v>2</v>
      </c>
      <c r="D1506">
        <v>53.8</v>
      </c>
      <c r="E1506">
        <v>107.6</v>
      </c>
      <c r="F1506" s="1">
        <v>45713</v>
      </c>
      <c r="G1506" s="1">
        <v>45718</v>
      </c>
      <c r="H1506" t="s">
        <v>12</v>
      </c>
      <c r="I1506" t="s">
        <v>3</v>
      </c>
      <c r="J1506">
        <v>5</v>
      </c>
      <c r="K1506" t="s">
        <v>4</v>
      </c>
      <c r="L1506" t="s">
        <v>100</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1591</v>
      </c>
      <c r="B1507" t="s">
        <v>156</v>
      </c>
      <c r="C1507">
        <v>2</v>
      </c>
      <c r="D1507">
        <v>17</v>
      </c>
      <c r="E1507">
        <v>34</v>
      </c>
      <c r="F1507" s="1">
        <v>45713</v>
      </c>
      <c r="G1507" s="1">
        <v>45714</v>
      </c>
      <c r="H1507" t="s">
        <v>8</v>
      </c>
      <c r="I1507" t="s">
        <v>36</v>
      </c>
      <c r="J1507">
        <v>4</v>
      </c>
      <c r="K1507" t="s">
        <v>4</v>
      </c>
      <c r="L1507" t="s">
        <v>100</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1592</v>
      </c>
      <c r="B1508" t="s">
        <v>24</v>
      </c>
      <c r="C1508">
        <v>1</v>
      </c>
      <c r="D1508">
        <v>103.2</v>
      </c>
      <c r="E1508">
        <v>103.2</v>
      </c>
      <c r="F1508" s="1">
        <v>45713</v>
      </c>
      <c r="G1508" s="1">
        <v>45721</v>
      </c>
      <c r="H1508" t="s">
        <v>8</v>
      </c>
      <c r="I1508" t="s">
        <v>25</v>
      </c>
      <c r="J1508">
        <v>3</v>
      </c>
      <c r="K1508" t="s">
        <v>4</v>
      </c>
      <c r="L1508" t="s">
        <v>9</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1593</v>
      </c>
      <c r="B1509" t="s">
        <v>24</v>
      </c>
      <c r="C1509">
        <v>4</v>
      </c>
      <c r="D1509">
        <v>70.3</v>
      </c>
      <c r="E1509">
        <v>281.2</v>
      </c>
      <c r="F1509" s="1">
        <v>45713</v>
      </c>
      <c r="G1509" s="1">
        <v>45714</v>
      </c>
      <c r="H1509" t="s">
        <v>8</v>
      </c>
      <c r="I1509" t="s">
        <v>3</v>
      </c>
      <c r="J1509">
        <v>4</v>
      </c>
      <c r="K1509" t="s">
        <v>4</v>
      </c>
      <c r="L1509" t="s">
        <v>18</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1594</v>
      </c>
      <c r="B1510" t="s">
        <v>11</v>
      </c>
      <c r="C1510">
        <v>2</v>
      </c>
      <c r="D1510">
        <v>73.8</v>
      </c>
      <c r="E1510">
        <v>147.6</v>
      </c>
      <c r="F1510" s="1">
        <v>45713</v>
      </c>
      <c r="G1510" s="1">
        <v>45713</v>
      </c>
      <c r="H1510" t="s">
        <v>8</v>
      </c>
      <c r="I1510" t="s">
        <v>36</v>
      </c>
      <c r="J1510">
        <v>5</v>
      </c>
      <c r="K1510" t="s">
        <v>4</v>
      </c>
      <c r="L1510" t="s">
        <v>18</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1595</v>
      </c>
      <c r="B1511" t="s">
        <v>7</v>
      </c>
      <c r="C1511">
        <v>12</v>
      </c>
      <c r="D1511">
        <v>67.7</v>
      </c>
      <c r="E1511">
        <v>812.40000000000009</v>
      </c>
      <c r="F1511" s="1">
        <v>45713</v>
      </c>
      <c r="G1511" s="1">
        <v>45717</v>
      </c>
      <c r="H1511" t="s">
        <v>8</v>
      </c>
      <c r="I1511" t="s">
        <v>20</v>
      </c>
      <c r="J1511">
        <v>3</v>
      </c>
      <c r="K1511" t="s">
        <v>4</v>
      </c>
      <c r="L1511" t="s">
        <v>18</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1596</v>
      </c>
      <c r="B1512" t="s">
        <v>61</v>
      </c>
      <c r="C1512">
        <v>7</v>
      </c>
      <c r="D1512">
        <v>43.8</v>
      </c>
      <c r="E1512">
        <v>306.59999999999997</v>
      </c>
      <c r="F1512" s="1">
        <v>45713</v>
      </c>
      <c r="G1512" s="1">
        <v>45715</v>
      </c>
      <c r="H1512" t="s">
        <v>8</v>
      </c>
      <c r="I1512" t="s">
        <v>20</v>
      </c>
      <c r="J1512">
        <v>4</v>
      </c>
      <c r="K1512" t="s">
        <v>4</v>
      </c>
      <c r="L1512" t="s">
        <v>18</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1597</v>
      </c>
      <c r="B1513" t="s">
        <v>120</v>
      </c>
      <c r="C1513">
        <v>6</v>
      </c>
      <c r="D1513">
        <v>71.900000000000006</v>
      </c>
      <c r="E1513">
        <v>431.40000000000003</v>
      </c>
      <c r="F1513" s="1">
        <v>45713</v>
      </c>
      <c r="G1513" s="1">
        <v>45714</v>
      </c>
      <c r="H1513" t="s">
        <v>12</v>
      </c>
      <c r="I1513" t="s">
        <v>25</v>
      </c>
      <c r="J1513">
        <v>4</v>
      </c>
      <c r="K1513" t="s">
        <v>4</v>
      </c>
      <c r="L1513" t="s">
        <v>18</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1598</v>
      </c>
      <c r="B1514" t="s">
        <v>29</v>
      </c>
      <c r="C1514">
        <v>2</v>
      </c>
      <c r="D1514">
        <v>26.3</v>
      </c>
      <c r="E1514">
        <v>52.6</v>
      </c>
      <c r="F1514" s="1">
        <v>45714</v>
      </c>
      <c r="G1514" s="1">
        <v>45716</v>
      </c>
      <c r="H1514" t="s">
        <v>12</v>
      </c>
      <c r="I1514" t="s">
        <v>3</v>
      </c>
      <c r="J1514">
        <v>3</v>
      </c>
      <c r="K1514" t="s">
        <v>4</v>
      </c>
      <c r="L1514" t="s">
        <v>18</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1599</v>
      </c>
      <c r="B1515" t="s">
        <v>24</v>
      </c>
      <c r="C1515">
        <v>4</v>
      </c>
      <c r="D1515">
        <v>52.6</v>
      </c>
      <c r="E1515">
        <v>210.4</v>
      </c>
      <c r="F1515" s="1">
        <v>45714</v>
      </c>
      <c r="G1515" s="1">
        <v>45716</v>
      </c>
      <c r="H1515" t="s">
        <v>12</v>
      </c>
      <c r="I1515" t="s">
        <v>25</v>
      </c>
      <c r="J1515">
        <v>3</v>
      </c>
      <c r="K1515" t="s">
        <v>4</v>
      </c>
      <c r="L1515" t="s">
        <v>18</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1600</v>
      </c>
      <c r="B1516" t="s">
        <v>39</v>
      </c>
      <c r="C1516">
        <v>1</v>
      </c>
      <c r="D1516">
        <v>32.700000000000003</v>
      </c>
      <c r="E1516">
        <v>32.700000000000003</v>
      </c>
      <c r="F1516" s="1">
        <v>45714</v>
      </c>
      <c r="G1516" s="1">
        <v>45721</v>
      </c>
      <c r="H1516" t="s">
        <v>12</v>
      </c>
      <c r="I1516" t="s">
        <v>3</v>
      </c>
      <c r="J1516">
        <v>5</v>
      </c>
      <c r="K1516" t="s">
        <v>4</v>
      </c>
      <c r="L1516" t="s">
        <v>18</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1601</v>
      </c>
      <c r="B1517" t="s">
        <v>22</v>
      </c>
      <c r="C1517">
        <v>4</v>
      </c>
      <c r="D1517">
        <v>38.9</v>
      </c>
      <c r="E1517">
        <v>155.6</v>
      </c>
      <c r="F1517" s="1">
        <v>45714</v>
      </c>
      <c r="G1517" s="1">
        <v>45715</v>
      </c>
      <c r="H1517" t="s">
        <v>12</v>
      </c>
      <c r="I1517" t="s">
        <v>3</v>
      </c>
      <c r="J1517">
        <v>4</v>
      </c>
      <c r="K1517" t="s">
        <v>4</v>
      </c>
      <c r="L1517" t="s">
        <v>18</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1602</v>
      </c>
      <c r="B1518" t="s">
        <v>31</v>
      </c>
      <c r="C1518">
        <v>5</v>
      </c>
      <c r="D1518">
        <v>35</v>
      </c>
      <c r="E1518">
        <v>175</v>
      </c>
      <c r="F1518" s="1">
        <v>45714</v>
      </c>
      <c r="G1518" s="1">
        <v>45716</v>
      </c>
      <c r="H1518" t="s">
        <v>8</v>
      </c>
      <c r="I1518" t="s">
        <v>3</v>
      </c>
      <c r="J1518">
        <v>4</v>
      </c>
      <c r="K1518" t="s">
        <v>4</v>
      </c>
      <c r="L1518" t="s">
        <v>18</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1603</v>
      </c>
      <c r="B1519" t="s">
        <v>11</v>
      </c>
      <c r="C1519">
        <v>2</v>
      </c>
      <c r="D1519">
        <v>121</v>
      </c>
      <c r="E1519">
        <v>242</v>
      </c>
      <c r="F1519" s="1">
        <v>45714</v>
      </c>
      <c r="G1519" s="1">
        <v>45715</v>
      </c>
      <c r="H1519" t="s">
        <v>12</v>
      </c>
      <c r="I1519" t="s">
        <v>20</v>
      </c>
      <c r="J1519">
        <v>3</v>
      </c>
      <c r="K1519" t="s">
        <v>4</v>
      </c>
      <c r="L1519" t="s">
        <v>18</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1604</v>
      </c>
      <c r="B1520" t="s">
        <v>24</v>
      </c>
      <c r="C1520">
        <v>3</v>
      </c>
      <c r="D1520">
        <v>65.099999999999994</v>
      </c>
      <c r="E1520">
        <v>195.29999999999998</v>
      </c>
      <c r="F1520" s="1">
        <v>45714</v>
      </c>
      <c r="G1520" s="1">
        <v>45718</v>
      </c>
      <c r="H1520" t="s">
        <v>8</v>
      </c>
      <c r="I1520" t="s">
        <v>25</v>
      </c>
      <c r="J1520">
        <v>4</v>
      </c>
      <c r="K1520" t="s">
        <v>4</v>
      </c>
      <c r="L1520" t="s">
        <v>327</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1605</v>
      </c>
      <c r="B1521" t="s">
        <v>7</v>
      </c>
      <c r="C1521">
        <v>21</v>
      </c>
      <c r="D1521">
        <v>63.8</v>
      </c>
      <c r="E1521">
        <v>1339.8</v>
      </c>
      <c r="F1521" s="1">
        <v>45714</v>
      </c>
      <c r="G1521" s="1">
        <v>45716</v>
      </c>
      <c r="H1521" t="s">
        <v>12</v>
      </c>
      <c r="I1521" t="s">
        <v>3</v>
      </c>
      <c r="J1521">
        <v>4</v>
      </c>
      <c r="K1521" t="s">
        <v>4</v>
      </c>
      <c r="L1521" t="s">
        <v>47</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1606</v>
      </c>
      <c r="B1522" t="s">
        <v>27</v>
      </c>
      <c r="C1522">
        <v>1</v>
      </c>
      <c r="D1522">
        <v>77.7</v>
      </c>
      <c r="E1522">
        <v>77.7</v>
      </c>
      <c r="F1522" s="1">
        <v>45714</v>
      </c>
      <c r="G1522" s="1">
        <v>45716</v>
      </c>
      <c r="H1522" t="s">
        <v>8</v>
      </c>
      <c r="I1522" t="s">
        <v>3</v>
      </c>
      <c r="J1522">
        <v>4</v>
      </c>
      <c r="K1522" t="s">
        <v>4</v>
      </c>
      <c r="L1522" t="s">
        <v>47</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1607</v>
      </c>
      <c r="B1523" t="s">
        <v>22</v>
      </c>
      <c r="C1523">
        <v>4</v>
      </c>
      <c r="D1523">
        <v>60.3</v>
      </c>
      <c r="E1523">
        <v>241.2</v>
      </c>
      <c r="F1523" s="1">
        <v>45714</v>
      </c>
      <c r="G1523" s="1">
        <v>45714</v>
      </c>
      <c r="H1523" t="s">
        <v>8</v>
      </c>
      <c r="I1523" t="s">
        <v>3</v>
      </c>
      <c r="J1523">
        <v>5</v>
      </c>
      <c r="K1523" t="s">
        <v>4</v>
      </c>
      <c r="L1523" t="s">
        <v>47</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1608</v>
      </c>
      <c r="B1524" t="s">
        <v>22</v>
      </c>
      <c r="C1524">
        <v>2</v>
      </c>
      <c r="D1524">
        <v>124.1</v>
      </c>
      <c r="E1524">
        <v>248.2</v>
      </c>
      <c r="F1524" s="1">
        <v>45714</v>
      </c>
      <c r="G1524" s="1">
        <v>45717</v>
      </c>
      <c r="H1524" t="s">
        <v>12</v>
      </c>
      <c r="I1524" t="s">
        <v>3</v>
      </c>
      <c r="J1524">
        <v>5</v>
      </c>
      <c r="K1524" t="s">
        <v>4</v>
      </c>
      <c r="L1524" t="s">
        <v>47</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1609</v>
      </c>
      <c r="B1525" t="s">
        <v>113</v>
      </c>
      <c r="C1525">
        <v>7</v>
      </c>
      <c r="D1525">
        <v>66</v>
      </c>
      <c r="E1525">
        <v>462</v>
      </c>
      <c r="F1525" s="1">
        <v>45714</v>
      </c>
      <c r="G1525" s="1">
        <v>45714</v>
      </c>
      <c r="H1525" t="s">
        <v>2</v>
      </c>
      <c r="I1525" t="s">
        <v>36</v>
      </c>
      <c r="J1525">
        <v>4</v>
      </c>
      <c r="K1525" t="s">
        <v>4</v>
      </c>
      <c r="L1525" t="s">
        <v>88</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1610</v>
      </c>
      <c r="B1526" t="s">
        <v>11</v>
      </c>
      <c r="C1526">
        <v>63</v>
      </c>
      <c r="D1526">
        <v>118.2</v>
      </c>
      <c r="E1526">
        <v>7446.6</v>
      </c>
      <c r="F1526" s="1">
        <v>45714</v>
      </c>
      <c r="G1526" s="1">
        <v>45719</v>
      </c>
      <c r="H1526" t="s">
        <v>2</v>
      </c>
      <c r="I1526" t="s">
        <v>3</v>
      </c>
      <c r="J1526">
        <v>4</v>
      </c>
      <c r="K1526" t="s">
        <v>4</v>
      </c>
      <c r="L1526" t="s">
        <v>88</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1611</v>
      </c>
      <c r="B1527" t="s">
        <v>22</v>
      </c>
      <c r="C1527">
        <v>5</v>
      </c>
      <c r="D1527">
        <v>64.3</v>
      </c>
      <c r="E1527">
        <v>321.5</v>
      </c>
      <c r="F1527" s="1">
        <v>45714</v>
      </c>
      <c r="G1527" s="1">
        <v>45715</v>
      </c>
      <c r="H1527" t="s">
        <v>8</v>
      </c>
      <c r="I1527" t="s">
        <v>55</v>
      </c>
      <c r="J1527">
        <v>2</v>
      </c>
      <c r="K1527" t="s">
        <v>4</v>
      </c>
      <c r="L1527" t="s">
        <v>186</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1612</v>
      </c>
      <c r="B1528" t="s">
        <v>7</v>
      </c>
      <c r="C1528">
        <v>2</v>
      </c>
      <c r="D1528">
        <v>54.8</v>
      </c>
      <c r="E1528">
        <v>109.6</v>
      </c>
      <c r="F1528" s="1">
        <v>45714</v>
      </c>
      <c r="G1528" s="1">
        <v>45714</v>
      </c>
      <c r="H1528" t="s">
        <v>8</v>
      </c>
      <c r="I1528" t="s">
        <v>3</v>
      </c>
      <c r="J1528">
        <v>3</v>
      </c>
      <c r="K1528" t="s">
        <v>4</v>
      </c>
      <c r="L1528" t="s">
        <v>186</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1613</v>
      </c>
      <c r="B1529" t="s">
        <v>27</v>
      </c>
      <c r="C1529">
        <v>2</v>
      </c>
      <c r="D1529">
        <v>78.599999999999994</v>
      </c>
      <c r="E1529">
        <v>157.19999999999999</v>
      </c>
      <c r="F1529" s="1">
        <v>45714</v>
      </c>
      <c r="G1529" s="1">
        <v>45715</v>
      </c>
      <c r="H1529" t="s">
        <v>8</v>
      </c>
      <c r="I1529" t="s">
        <v>3</v>
      </c>
      <c r="J1529">
        <v>5</v>
      </c>
      <c r="K1529" t="s">
        <v>4</v>
      </c>
      <c r="L1529" t="s">
        <v>57</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1614</v>
      </c>
      <c r="B1530" t="s">
        <v>11</v>
      </c>
      <c r="C1530">
        <v>5</v>
      </c>
      <c r="D1530">
        <v>158.5</v>
      </c>
      <c r="E1530">
        <v>792.5</v>
      </c>
      <c r="F1530" s="1">
        <v>45714</v>
      </c>
      <c r="G1530" s="1">
        <v>45716</v>
      </c>
      <c r="H1530" t="s">
        <v>2</v>
      </c>
      <c r="I1530" t="s">
        <v>25</v>
      </c>
      <c r="J1530">
        <v>5</v>
      </c>
      <c r="K1530" t="s">
        <v>4</v>
      </c>
      <c r="L1530" t="s">
        <v>57</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1615</v>
      </c>
      <c r="B1531" t="s">
        <v>17</v>
      </c>
      <c r="C1531">
        <v>10</v>
      </c>
      <c r="D1531">
        <v>23.5</v>
      </c>
      <c r="E1531">
        <v>235</v>
      </c>
      <c r="F1531" s="1">
        <v>45714</v>
      </c>
      <c r="G1531" s="1">
        <v>45717</v>
      </c>
      <c r="H1531" t="s">
        <v>8</v>
      </c>
      <c r="I1531" t="s">
        <v>3</v>
      </c>
      <c r="J1531">
        <v>2</v>
      </c>
      <c r="K1531" t="s">
        <v>4</v>
      </c>
      <c r="L1531" t="s">
        <v>59</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1616</v>
      </c>
      <c r="B1532" t="s">
        <v>22</v>
      </c>
      <c r="C1532">
        <v>2</v>
      </c>
      <c r="D1532">
        <v>32.1</v>
      </c>
      <c r="E1532">
        <v>64.2</v>
      </c>
      <c r="F1532" s="1">
        <v>45714</v>
      </c>
      <c r="G1532" s="1">
        <v>45716</v>
      </c>
      <c r="H1532" t="s">
        <v>2</v>
      </c>
      <c r="I1532" t="s">
        <v>36</v>
      </c>
      <c r="J1532">
        <v>4</v>
      </c>
      <c r="K1532" t="s">
        <v>4</v>
      </c>
      <c r="L1532" t="s">
        <v>59</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1617</v>
      </c>
      <c r="B1533" t="s">
        <v>120</v>
      </c>
      <c r="C1533">
        <v>4</v>
      </c>
      <c r="D1533">
        <v>71.900000000000006</v>
      </c>
      <c r="E1533">
        <v>287.60000000000002</v>
      </c>
      <c r="F1533" s="1">
        <v>45714</v>
      </c>
      <c r="G1533" s="1">
        <v>45714</v>
      </c>
      <c r="H1533" t="s">
        <v>8</v>
      </c>
      <c r="I1533" t="s">
        <v>25</v>
      </c>
      <c r="J1533">
        <v>4</v>
      </c>
      <c r="K1533" t="s">
        <v>4</v>
      </c>
      <c r="L1533" t="s">
        <v>95</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1618</v>
      </c>
      <c r="B1534" t="s">
        <v>17</v>
      </c>
      <c r="C1534">
        <v>6</v>
      </c>
      <c r="D1534">
        <v>22.3</v>
      </c>
      <c r="E1534">
        <v>133.80000000000001</v>
      </c>
      <c r="F1534" s="1">
        <v>45714</v>
      </c>
      <c r="G1534" s="1">
        <v>45715</v>
      </c>
      <c r="H1534" t="s">
        <v>2</v>
      </c>
      <c r="I1534" t="s">
        <v>36</v>
      </c>
      <c r="J1534">
        <v>5</v>
      </c>
      <c r="K1534" t="s">
        <v>4</v>
      </c>
      <c r="L1534" t="s">
        <v>67</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1619</v>
      </c>
      <c r="B1535" t="s">
        <v>52</v>
      </c>
      <c r="C1535">
        <v>2</v>
      </c>
      <c r="D1535">
        <v>29.5</v>
      </c>
      <c r="E1535">
        <v>59</v>
      </c>
      <c r="F1535" s="1">
        <v>45714</v>
      </c>
      <c r="G1535" s="1">
        <v>45715</v>
      </c>
      <c r="H1535" t="s">
        <v>12</v>
      </c>
      <c r="I1535" t="s">
        <v>3</v>
      </c>
      <c r="J1535">
        <v>5</v>
      </c>
      <c r="K1535" t="s">
        <v>4</v>
      </c>
      <c r="L1535" t="s">
        <v>67</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1620</v>
      </c>
      <c r="B1536" t="s">
        <v>24</v>
      </c>
      <c r="C1536">
        <v>4</v>
      </c>
      <c r="D1536">
        <v>41.9</v>
      </c>
      <c r="E1536">
        <v>167.6</v>
      </c>
      <c r="F1536" s="1">
        <v>45714</v>
      </c>
      <c r="G1536" s="1">
        <v>45718</v>
      </c>
      <c r="H1536" t="s">
        <v>12</v>
      </c>
      <c r="I1536" t="s">
        <v>3</v>
      </c>
      <c r="J1536">
        <v>3</v>
      </c>
      <c r="K1536" t="s">
        <v>4</v>
      </c>
      <c r="L1536" t="s">
        <v>100</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1621</v>
      </c>
      <c r="B1537" t="s">
        <v>24</v>
      </c>
      <c r="C1537">
        <v>3</v>
      </c>
      <c r="D1537">
        <v>107.8</v>
      </c>
      <c r="E1537">
        <v>323.39999999999998</v>
      </c>
      <c r="F1537" s="1">
        <v>45714</v>
      </c>
      <c r="G1537" s="1">
        <v>45715</v>
      </c>
      <c r="H1537" t="s">
        <v>8</v>
      </c>
      <c r="I1537" t="s">
        <v>20</v>
      </c>
      <c r="J1537">
        <v>5</v>
      </c>
      <c r="K1537" t="s">
        <v>4</v>
      </c>
      <c r="L1537" t="s">
        <v>626</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1622</v>
      </c>
      <c r="B1538" t="s">
        <v>17</v>
      </c>
      <c r="C1538">
        <v>5</v>
      </c>
      <c r="D1538">
        <v>18.100000000000001</v>
      </c>
      <c r="E1538">
        <v>90.5</v>
      </c>
      <c r="F1538" s="1">
        <v>45714</v>
      </c>
      <c r="G1538" s="1">
        <v>45717</v>
      </c>
      <c r="H1538" t="s">
        <v>8</v>
      </c>
      <c r="I1538" t="s">
        <v>3</v>
      </c>
      <c r="J1538">
        <v>5</v>
      </c>
      <c r="K1538" t="s">
        <v>4</v>
      </c>
      <c r="L1538" t="s">
        <v>13</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1623</v>
      </c>
      <c r="B1539" t="s">
        <v>54</v>
      </c>
      <c r="C1539">
        <v>9</v>
      </c>
      <c r="D1539">
        <v>79.8</v>
      </c>
      <c r="E1539">
        <v>718.19999999999993</v>
      </c>
      <c r="F1539" s="1">
        <v>45714</v>
      </c>
      <c r="G1539" s="1">
        <v>45715</v>
      </c>
      <c r="H1539" t="s">
        <v>12</v>
      </c>
      <c r="I1539" t="s">
        <v>20</v>
      </c>
      <c r="J1539">
        <v>3</v>
      </c>
      <c r="K1539" t="s">
        <v>4</v>
      </c>
      <c r="L1539" t="s">
        <v>132</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1624</v>
      </c>
      <c r="B1540" t="s">
        <v>1</v>
      </c>
      <c r="C1540">
        <v>3</v>
      </c>
      <c r="D1540">
        <v>22.3</v>
      </c>
      <c r="E1540">
        <v>66.900000000000006</v>
      </c>
      <c r="F1540" s="1">
        <v>45714</v>
      </c>
      <c r="G1540" s="1">
        <v>45717</v>
      </c>
      <c r="H1540" t="s">
        <v>12</v>
      </c>
      <c r="I1540" t="s">
        <v>3</v>
      </c>
      <c r="J1540">
        <v>5</v>
      </c>
      <c r="K1540" t="s">
        <v>4</v>
      </c>
      <c r="L1540" t="s">
        <v>132</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1625</v>
      </c>
      <c r="B1541" t="s">
        <v>29</v>
      </c>
      <c r="C1541">
        <v>1</v>
      </c>
      <c r="D1541">
        <v>22.9</v>
      </c>
      <c r="E1541">
        <v>22.9</v>
      </c>
      <c r="F1541" s="1">
        <v>45714</v>
      </c>
      <c r="G1541" s="1">
        <v>45714</v>
      </c>
      <c r="H1541" t="s">
        <v>12</v>
      </c>
      <c r="I1541" t="s">
        <v>20</v>
      </c>
      <c r="J1541">
        <v>4</v>
      </c>
      <c r="K1541" t="s">
        <v>4</v>
      </c>
      <c r="L1541" t="s">
        <v>132</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1626</v>
      </c>
      <c r="B1542" t="s">
        <v>1</v>
      </c>
      <c r="C1542">
        <v>3</v>
      </c>
      <c r="D1542">
        <v>16.2</v>
      </c>
      <c r="E1542">
        <v>48.599999999999994</v>
      </c>
      <c r="F1542" s="1">
        <v>45715</v>
      </c>
      <c r="G1542" s="1">
        <v>45715</v>
      </c>
      <c r="H1542" t="s">
        <v>8</v>
      </c>
      <c r="I1542" t="s">
        <v>55</v>
      </c>
      <c r="J1542">
        <v>5</v>
      </c>
      <c r="K1542" t="s">
        <v>4</v>
      </c>
      <c r="L1542" t="s">
        <v>18</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1627</v>
      </c>
      <c r="B1543" t="s">
        <v>39</v>
      </c>
      <c r="C1543">
        <v>4</v>
      </c>
      <c r="D1543">
        <v>59.5</v>
      </c>
      <c r="E1543">
        <v>238</v>
      </c>
      <c r="F1543" s="1">
        <v>45715</v>
      </c>
      <c r="G1543" s="1">
        <v>45716</v>
      </c>
      <c r="H1543" t="s">
        <v>8</v>
      </c>
      <c r="I1543" t="s">
        <v>20</v>
      </c>
      <c r="J1543">
        <v>5</v>
      </c>
      <c r="K1543" t="s">
        <v>4</v>
      </c>
      <c r="L1543" t="s">
        <v>18</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1628</v>
      </c>
      <c r="B1544" t="s">
        <v>131</v>
      </c>
      <c r="C1544">
        <v>5</v>
      </c>
      <c r="D1544">
        <v>26.2</v>
      </c>
      <c r="E1544">
        <v>131</v>
      </c>
      <c r="F1544" s="1">
        <v>45715</v>
      </c>
      <c r="G1544" s="1">
        <v>45718</v>
      </c>
      <c r="H1544" t="s">
        <v>8</v>
      </c>
      <c r="I1544" t="s">
        <v>36</v>
      </c>
      <c r="J1544">
        <v>2</v>
      </c>
      <c r="K1544" t="s">
        <v>4</v>
      </c>
      <c r="L1544" t="s">
        <v>18</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1629</v>
      </c>
      <c r="B1545" t="s">
        <v>15</v>
      </c>
      <c r="C1545">
        <v>1</v>
      </c>
      <c r="D1545">
        <v>44.2</v>
      </c>
      <c r="E1545">
        <v>44.2</v>
      </c>
      <c r="F1545" s="1">
        <v>45715</v>
      </c>
      <c r="G1545" s="1">
        <v>45718</v>
      </c>
      <c r="H1545" t="s">
        <v>12</v>
      </c>
      <c r="I1545" t="s">
        <v>20</v>
      </c>
      <c r="J1545">
        <v>4</v>
      </c>
      <c r="K1545" t="s">
        <v>4</v>
      </c>
      <c r="L1545" t="s">
        <v>18</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1630</v>
      </c>
      <c r="B1546" t="s">
        <v>31</v>
      </c>
      <c r="C1546">
        <v>2</v>
      </c>
      <c r="D1546">
        <v>59.2</v>
      </c>
      <c r="E1546">
        <v>118.4</v>
      </c>
      <c r="F1546" s="1">
        <v>45715</v>
      </c>
      <c r="G1546" s="1">
        <v>45715</v>
      </c>
      <c r="H1546" t="s">
        <v>12</v>
      </c>
      <c r="I1546" t="s">
        <v>20</v>
      </c>
      <c r="J1546">
        <v>2</v>
      </c>
      <c r="K1546" t="s">
        <v>4</v>
      </c>
      <c r="L1546" t="s">
        <v>18</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1631</v>
      </c>
      <c r="B1547" t="s">
        <v>108</v>
      </c>
      <c r="C1547">
        <v>4</v>
      </c>
      <c r="D1547">
        <v>41.5</v>
      </c>
      <c r="E1547">
        <v>166</v>
      </c>
      <c r="F1547" s="1">
        <v>45715</v>
      </c>
      <c r="G1547" s="1">
        <v>45717</v>
      </c>
      <c r="H1547" t="s">
        <v>12</v>
      </c>
      <c r="I1547" t="s">
        <v>3</v>
      </c>
      <c r="J1547">
        <v>4</v>
      </c>
      <c r="K1547" t="s">
        <v>4</v>
      </c>
      <c r="L1547" t="s">
        <v>83</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1632</v>
      </c>
      <c r="B1548" t="s">
        <v>24</v>
      </c>
      <c r="C1548">
        <v>12</v>
      </c>
      <c r="D1548">
        <v>67.099999999999994</v>
      </c>
      <c r="E1548">
        <v>805.19999999999993</v>
      </c>
      <c r="F1548" s="1">
        <v>45715</v>
      </c>
      <c r="G1548" s="1">
        <v>45729</v>
      </c>
      <c r="H1548" t="s">
        <v>12</v>
      </c>
      <c r="I1548" t="s">
        <v>3</v>
      </c>
      <c r="J1548">
        <v>5</v>
      </c>
      <c r="K1548" t="s">
        <v>4</v>
      </c>
      <c r="L1548" t="s">
        <v>143</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1633</v>
      </c>
      <c r="B1549" t="s">
        <v>29</v>
      </c>
      <c r="C1549">
        <v>2</v>
      </c>
      <c r="D1549">
        <v>28.7</v>
      </c>
      <c r="E1549">
        <v>57.4</v>
      </c>
      <c r="F1549" s="1">
        <v>45715</v>
      </c>
      <c r="G1549" s="1">
        <v>45719</v>
      </c>
      <c r="H1549" t="s">
        <v>12</v>
      </c>
      <c r="I1549" t="s">
        <v>20</v>
      </c>
      <c r="J1549">
        <v>4</v>
      </c>
      <c r="K1549" t="s">
        <v>4</v>
      </c>
      <c r="L1549" t="s">
        <v>40</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1634</v>
      </c>
      <c r="B1550" t="s">
        <v>11</v>
      </c>
      <c r="C1550">
        <v>4</v>
      </c>
      <c r="D1550">
        <v>132.1</v>
      </c>
      <c r="E1550">
        <v>528.4</v>
      </c>
      <c r="F1550" s="1">
        <v>45715</v>
      </c>
      <c r="G1550" s="1">
        <v>45716</v>
      </c>
      <c r="H1550" t="s">
        <v>12</v>
      </c>
      <c r="I1550" t="s">
        <v>3</v>
      </c>
      <c r="J1550">
        <v>3</v>
      </c>
      <c r="K1550" t="s">
        <v>4</v>
      </c>
      <c r="L1550" t="s">
        <v>40</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1635</v>
      </c>
      <c r="B1551" t="s">
        <v>131</v>
      </c>
      <c r="C1551">
        <v>2</v>
      </c>
      <c r="D1551">
        <v>47</v>
      </c>
      <c r="E1551">
        <v>94</v>
      </c>
      <c r="F1551" s="1">
        <v>45715</v>
      </c>
      <c r="G1551" s="1">
        <v>45717</v>
      </c>
      <c r="H1551" t="s">
        <v>8</v>
      </c>
      <c r="I1551" t="s">
        <v>55</v>
      </c>
      <c r="J1551">
        <v>4</v>
      </c>
      <c r="K1551" t="s">
        <v>4</v>
      </c>
      <c r="L1551" t="s">
        <v>47</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1636</v>
      </c>
      <c r="B1552" t="s">
        <v>29</v>
      </c>
      <c r="C1552">
        <v>2</v>
      </c>
      <c r="D1552">
        <v>41.6</v>
      </c>
      <c r="E1552">
        <v>83.2</v>
      </c>
      <c r="F1552" s="1">
        <v>45715</v>
      </c>
      <c r="G1552" s="1">
        <v>45719</v>
      </c>
      <c r="H1552" t="s">
        <v>8</v>
      </c>
      <c r="I1552" t="s">
        <v>20</v>
      </c>
      <c r="J1552">
        <v>5</v>
      </c>
      <c r="K1552" t="s">
        <v>4</v>
      </c>
      <c r="L1552" t="s">
        <v>47</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1637</v>
      </c>
      <c r="B1553" t="s">
        <v>29</v>
      </c>
      <c r="C1553">
        <v>38</v>
      </c>
      <c r="D1553">
        <v>17.3</v>
      </c>
      <c r="E1553">
        <v>657.4</v>
      </c>
      <c r="F1553" s="1">
        <v>45715</v>
      </c>
      <c r="G1553" s="1">
        <v>45717</v>
      </c>
      <c r="H1553" t="s">
        <v>8</v>
      </c>
      <c r="I1553" t="s">
        <v>25</v>
      </c>
      <c r="J1553">
        <v>5</v>
      </c>
      <c r="K1553" t="s">
        <v>4</v>
      </c>
      <c r="L1553" t="s">
        <v>47</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1638</v>
      </c>
      <c r="B1554" t="s">
        <v>61</v>
      </c>
      <c r="C1554">
        <v>3</v>
      </c>
      <c r="D1554">
        <v>41.8</v>
      </c>
      <c r="E1554">
        <v>125.39999999999999</v>
      </c>
      <c r="F1554" s="1">
        <v>45715</v>
      </c>
      <c r="G1554" s="1">
        <v>45718</v>
      </c>
      <c r="H1554" t="s">
        <v>8</v>
      </c>
      <c r="I1554" t="s">
        <v>3</v>
      </c>
      <c r="J1554">
        <v>5</v>
      </c>
      <c r="K1554" t="s">
        <v>4</v>
      </c>
      <c r="L1554" t="s">
        <v>47</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1639</v>
      </c>
      <c r="B1555" t="s">
        <v>39</v>
      </c>
      <c r="C1555">
        <v>1</v>
      </c>
      <c r="D1555">
        <v>24</v>
      </c>
      <c r="E1555">
        <v>24</v>
      </c>
      <c r="F1555" s="1">
        <v>45715</v>
      </c>
      <c r="G1555" s="1">
        <v>45716</v>
      </c>
      <c r="H1555" t="s">
        <v>12</v>
      </c>
      <c r="I1555" t="s">
        <v>3</v>
      </c>
      <c r="J1555">
        <v>4</v>
      </c>
      <c r="K1555" t="s">
        <v>4</v>
      </c>
      <c r="L1555" t="s">
        <v>88</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1640</v>
      </c>
      <c r="B1556" t="s">
        <v>66</v>
      </c>
      <c r="C1556">
        <v>9</v>
      </c>
      <c r="D1556">
        <v>18.5</v>
      </c>
      <c r="E1556">
        <v>166.5</v>
      </c>
      <c r="F1556" s="1">
        <v>45715</v>
      </c>
      <c r="G1556" s="1">
        <v>45717</v>
      </c>
      <c r="H1556" t="s">
        <v>12</v>
      </c>
      <c r="I1556" t="s">
        <v>3</v>
      </c>
      <c r="J1556">
        <v>4</v>
      </c>
      <c r="K1556" t="s">
        <v>4</v>
      </c>
      <c r="L1556" t="s">
        <v>57</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1641</v>
      </c>
      <c r="B1557" t="s">
        <v>15</v>
      </c>
      <c r="C1557">
        <v>12</v>
      </c>
      <c r="D1557">
        <v>66.7</v>
      </c>
      <c r="E1557">
        <v>800.40000000000009</v>
      </c>
      <c r="F1557" s="1">
        <v>45715</v>
      </c>
      <c r="G1557" s="1">
        <v>45718</v>
      </c>
      <c r="H1557" t="s">
        <v>2</v>
      </c>
      <c r="I1557" t="s">
        <v>3</v>
      </c>
      <c r="J1557">
        <v>5</v>
      </c>
      <c r="K1557" t="s">
        <v>4</v>
      </c>
      <c r="L1557" t="s">
        <v>62</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1642</v>
      </c>
      <c r="B1558" t="s">
        <v>7</v>
      </c>
      <c r="C1558">
        <v>4</v>
      </c>
      <c r="D1558">
        <v>33.1</v>
      </c>
      <c r="E1558">
        <v>132.4</v>
      </c>
      <c r="F1558" s="1">
        <v>45715</v>
      </c>
      <c r="G1558" s="1">
        <v>45720</v>
      </c>
      <c r="H1558" t="s">
        <v>8</v>
      </c>
      <c r="I1558" t="s">
        <v>36</v>
      </c>
      <c r="J1558">
        <v>4</v>
      </c>
      <c r="K1558" t="s">
        <v>4</v>
      </c>
      <c r="L1558" t="s">
        <v>62</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1643</v>
      </c>
      <c r="B1559" t="s">
        <v>156</v>
      </c>
      <c r="C1559">
        <v>9</v>
      </c>
      <c r="D1559">
        <v>42.1</v>
      </c>
      <c r="E1559">
        <v>378.90000000000003</v>
      </c>
      <c r="F1559" s="1">
        <v>45715</v>
      </c>
      <c r="G1559" s="1">
        <v>45726</v>
      </c>
      <c r="H1559" t="s">
        <v>8</v>
      </c>
      <c r="I1559" t="s">
        <v>20</v>
      </c>
      <c r="J1559">
        <v>4</v>
      </c>
      <c r="K1559" t="s">
        <v>4</v>
      </c>
      <c r="L1559" t="s">
        <v>93</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1644</v>
      </c>
      <c r="B1560" t="s">
        <v>131</v>
      </c>
      <c r="C1560">
        <v>7</v>
      </c>
      <c r="D1560">
        <v>58.7</v>
      </c>
      <c r="E1560">
        <v>410.90000000000003</v>
      </c>
      <c r="F1560" s="1">
        <v>45715</v>
      </c>
      <c r="G1560" s="1">
        <v>45715</v>
      </c>
      <c r="H1560" t="s">
        <v>74</v>
      </c>
      <c r="I1560" t="s">
        <v>36</v>
      </c>
      <c r="J1560">
        <v>4</v>
      </c>
      <c r="K1560" t="s">
        <v>4</v>
      </c>
      <c r="L1560" t="s">
        <v>277</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1645</v>
      </c>
      <c r="B1561" t="s">
        <v>24</v>
      </c>
      <c r="C1561">
        <v>4</v>
      </c>
      <c r="D1561">
        <v>54</v>
      </c>
      <c r="E1561">
        <v>216</v>
      </c>
      <c r="F1561" s="1">
        <v>45715</v>
      </c>
      <c r="G1561" s="1">
        <v>45717</v>
      </c>
      <c r="H1561" t="s">
        <v>12</v>
      </c>
      <c r="I1561" t="s">
        <v>20</v>
      </c>
      <c r="J1561">
        <v>4</v>
      </c>
      <c r="K1561" t="s">
        <v>4</v>
      </c>
      <c r="L1561" t="s">
        <v>9</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1646</v>
      </c>
      <c r="B1562" t="s">
        <v>29</v>
      </c>
      <c r="C1562">
        <v>1</v>
      </c>
      <c r="D1562">
        <v>52.1</v>
      </c>
      <c r="E1562">
        <v>52.1</v>
      </c>
      <c r="F1562" s="1">
        <v>45715</v>
      </c>
      <c r="G1562" s="1">
        <v>45716</v>
      </c>
      <c r="H1562" t="s">
        <v>12</v>
      </c>
      <c r="I1562" t="s">
        <v>25</v>
      </c>
      <c r="J1562">
        <v>5</v>
      </c>
      <c r="K1562" t="s">
        <v>4</v>
      </c>
      <c r="L1562" t="s">
        <v>13</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1647</v>
      </c>
      <c r="B1563" t="s">
        <v>156</v>
      </c>
      <c r="C1563">
        <v>2</v>
      </c>
      <c r="D1563">
        <v>27</v>
      </c>
      <c r="E1563">
        <v>54</v>
      </c>
      <c r="F1563" s="1">
        <v>45715</v>
      </c>
      <c r="G1563" s="1">
        <v>45718</v>
      </c>
      <c r="H1563" t="s">
        <v>74</v>
      </c>
      <c r="I1563" t="s">
        <v>25</v>
      </c>
      <c r="J1563">
        <v>4</v>
      </c>
      <c r="K1563" t="s">
        <v>4</v>
      </c>
      <c r="L1563" t="s">
        <v>132</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1648</v>
      </c>
      <c r="B1564" t="s">
        <v>54</v>
      </c>
      <c r="C1564">
        <v>10</v>
      </c>
      <c r="D1564">
        <v>31</v>
      </c>
      <c r="E1564">
        <v>310</v>
      </c>
      <c r="F1564" s="1">
        <v>45716</v>
      </c>
      <c r="G1564" s="1">
        <v>45717</v>
      </c>
      <c r="H1564" t="s">
        <v>12</v>
      </c>
      <c r="I1564" t="s">
        <v>36</v>
      </c>
      <c r="J1564">
        <v>5</v>
      </c>
      <c r="K1564" t="s">
        <v>4</v>
      </c>
      <c r="L1564" t="s">
        <v>132</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1649</v>
      </c>
      <c r="B1565" t="s">
        <v>39</v>
      </c>
      <c r="C1565">
        <v>2</v>
      </c>
      <c r="D1565">
        <v>46.7</v>
      </c>
      <c r="E1565">
        <v>93.4</v>
      </c>
      <c r="F1565" s="1">
        <v>45716</v>
      </c>
      <c r="G1565" s="1">
        <v>45716</v>
      </c>
      <c r="H1565" t="s">
        <v>12</v>
      </c>
      <c r="I1565" t="s">
        <v>3</v>
      </c>
      <c r="J1565">
        <v>4</v>
      </c>
      <c r="K1565" t="s">
        <v>4</v>
      </c>
      <c r="L1565" t="s">
        <v>319</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1650</v>
      </c>
      <c r="B1566" t="s">
        <v>24</v>
      </c>
      <c r="C1566">
        <v>1</v>
      </c>
      <c r="D1566">
        <v>144.69999999999999</v>
      </c>
      <c r="E1566">
        <v>144.69999999999999</v>
      </c>
      <c r="F1566" s="1">
        <v>45716</v>
      </c>
      <c r="G1566" s="1">
        <v>45719</v>
      </c>
      <c r="H1566" t="s">
        <v>8</v>
      </c>
      <c r="I1566" t="s">
        <v>3</v>
      </c>
      <c r="J1566">
        <v>5</v>
      </c>
      <c r="K1566" t="s">
        <v>4</v>
      </c>
      <c r="L1566" t="s">
        <v>18</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1651</v>
      </c>
      <c r="B1567" t="s">
        <v>11</v>
      </c>
      <c r="C1567">
        <v>9</v>
      </c>
      <c r="D1567">
        <v>90.9</v>
      </c>
      <c r="E1567">
        <v>818.1</v>
      </c>
      <c r="F1567" s="1">
        <v>45716</v>
      </c>
      <c r="G1567" s="1">
        <v>45717</v>
      </c>
      <c r="H1567" t="s">
        <v>8</v>
      </c>
      <c r="I1567" t="s">
        <v>3</v>
      </c>
      <c r="J1567">
        <v>5</v>
      </c>
      <c r="K1567" t="s">
        <v>4</v>
      </c>
      <c r="L1567" t="s">
        <v>18</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1652</v>
      </c>
      <c r="B1568" t="s">
        <v>7</v>
      </c>
      <c r="C1568">
        <v>2</v>
      </c>
      <c r="D1568">
        <v>75.8</v>
      </c>
      <c r="E1568">
        <v>151.6</v>
      </c>
      <c r="F1568" s="1">
        <v>45716</v>
      </c>
      <c r="G1568" s="1">
        <v>45717</v>
      </c>
      <c r="H1568" t="s">
        <v>12</v>
      </c>
      <c r="I1568" t="s">
        <v>25</v>
      </c>
      <c r="J1568">
        <v>3</v>
      </c>
      <c r="K1568" t="s">
        <v>4</v>
      </c>
      <c r="L1568" t="s">
        <v>18</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1653</v>
      </c>
      <c r="B1569" t="s">
        <v>27</v>
      </c>
      <c r="C1569">
        <v>5</v>
      </c>
      <c r="D1569">
        <v>57.9</v>
      </c>
      <c r="E1569">
        <v>289.5</v>
      </c>
      <c r="F1569" s="1">
        <v>45716</v>
      </c>
      <c r="G1569" s="1">
        <v>45718</v>
      </c>
      <c r="H1569" t="s">
        <v>8</v>
      </c>
      <c r="I1569" t="s">
        <v>25</v>
      </c>
      <c r="J1569">
        <v>5</v>
      </c>
      <c r="K1569" t="s">
        <v>4</v>
      </c>
      <c r="L1569" t="s">
        <v>18</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1654</v>
      </c>
      <c r="B1570" t="s">
        <v>29</v>
      </c>
      <c r="C1570">
        <v>5</v>
      </c>
      <c r="D1570">
        <v>44.8</v>
      </c>
      <c r="E1570">
        <v>224</v>
      </c>
      <c r="F1570" s="1">
        <v>45716</v>
      </c>
      <c r="G1570" s="1">
        <v>45717</v>
      </c>
      <c r="H1570" t="s">
        <v>12</v>
      </c>
      <c r="I1570" t="s">
        <v>36</v>
      </c>
      <c r="J1570">
        <v>5</v>
      </c>
      <c r="K1570" t="s">
        <v>4</v>
      </c>
      <c r="L1570" t="s">
        <v>18</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1655</v>
      </c>
      <c r="B1571" t="s">
        <v>31</v>
      </c>
      <c r="C1571">
        <v>3</v>
      </c>
      <c r="D1571">
        <v>44.2</v>
      </c>
      <c r="E1571">
        <v>132.60000000000002</v>
      </c>
      <c r="F1571" s="1">
        <v>45716</v>
      </c>
      <c r="G1571" s="1">
        <v>45720</v>
      </c>
      <c r="H1571" t="s">
        <v>8</v>
      </c>
      <c r="I1571" t="s">
        <v>25</v>
      </c>
      <c r="J1571">
        <v>5</v>
      </c>
      <c r="K1571" t="s">
        <v>4</v>
      </c>
      <c r="L1571" t="s">
        <v>18</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1656</v>
      </c>
      <c r="B1572" t="s">
        <v>22</v>
      </c>
      <c r="C1572">
        <v>5</v>
      </c>
      <c r="D1572">
        <v>53.5</v>
      </c>
      <c r="E1572">
        <v>267.5</v>
      </c>
      <c r="F1572" s="1">
        <v>45716</v>
      </c>
      <c r="G1572" s="1">
        <v>45718</v>
      </c>
      <c r="H1572" t="s">
        <v>8</v>
      </c>
      <c r="I1572" t="s">
        <v>3</v>
      </c>
      <c r="J1572">
        <v>4</v>
      </c>
      <c r="K1572" t="s">
        <v>4</v>
      </c>
      <c r="L1572" t="s">
        <v>349</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1657</v>
      </c>
      <c r="B1573" t="s">
        <v>24</v>
      </c>
      <c r="C1573">
        <v>2</v>
      </c>
      <c r="D1573">
        <v>72.2</v>
      </c>
      <c r="E1573">
        <v>144.4</v>
      </c>
      <c r="F1573" s="1">
        <v>45716</v>
      </c>
      <c r="G1573" s="1">
        <v>45717</v>
      </c>
      <c r="H1573" t="s">
        <v>8</v>
      </c>
      <c r="I1573" t="s">
        <v>3</v>
      </c>
      <c r="J1573">
        <v>5</v>
      </c>
      <c r="K1573" t="s">
        <v>4</v>
      </c>
      <c r="L1573" t="s">
        <v>173</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1658</v>
      </c>
      <c r="B1574" t="s">
        <v>24</v>
      </c>
      <c r="C1574">
        <v>4</v>
      </c>
      <c r="D1574">
        <v>62.4</v>
      </c>
      <c r="E1574">
        <v>249.6</v>
      </c>
      <c r="F1574" s="1">
        <v>45716</v>
      </c>
      <c r="G1574" s="1">
        <v>45719</v>
      </c>
      <c r="H1574" t="s">
        <v>12</v>
      </c>
      <c r="I1574" t="s">
        <v>3</v>
      </c>
      <c r="J1574">
        <v>3</v>
      </c>
      <c r="K1574" t="s">
        <v>4</v>
      </c>
      <c r="L1574" t="s">
        <v>143</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1659</v>
      </c>
      <c r="B1575" t="s">
        <v>39</v>
      </c>
      <c r="C1575">
        <v>5</v>
      </c>
      <c r="D1575">
        <v>24.7</v>
      </c>
      <c r="E1575">
        <v>123.5</v>
      </c>
      <c r="F1575" s="1">
        <v>45716</v>
      </c>
      <c r="G1575" s="1">
        <v>45717</v>
      </c>
      <c r="H1575" t="s">
        <v>12</v>
      </c>
      <c r="I1575" t="s">
        <v>3</v>
      </c>
      <c r="J1575">
        <v>4</v>
      </c>
      <c r="K1575" t="s">
        <v>4</v>
      </c>
      <c r="L1575" t="s">
        <v>40</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1660</v>
      </c>
      <c r="B1576" t="s">
        <v>7</v>
      </c>
      <c r="C1576">
        <v>5</v>
      </c>
      <c r="D1576">
        <v>61.7</v>
      </c>
      <c r="E1576">
        <v>308.5</v>
      </c>
      <c r="F1576" s="1">
        <v>45716</v>
      </c>
      <c r="G1576" s="1">
        <v>45718</v>
      </c>
      <c r="H1576" t="s">
        <v>12</v>
      </c>
      <c r="I1576" t="s">
        <v>25</v>
      </c>
      <c r="J1576">
        <v>4</v>
      </c>
      <c r="K1576" t="s">
        <v>4</v>
      </c>
      <c r="L1576" t="s">
        <v>47</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1661</v>
      </c>
      <c r="B1577" t="s">
        <v>29</v>
      </c>
      <c r="C1577">
        <v>5</v>
      </c>
      <c r="D1577">
        <v>18.2</v>
      </c>
      <c r="E1577">
        <v>91</v>
      </c>
      <c r="F1577" s="1">
        <v>45716</v>
      </c>
      <c r="G1577" s="1">
        <v>45718</v>
      </c>
      <c r="H1577" t="s">
        <v>12</v>
      </c>
      <c r="I1577" t="s">
        <v>36</v>
      </c>
      <c r="J1577">
        <v>4</v>
      </c>
      <c r="K1577" t="s">
        <v>4</v>
      </c>
      <c r="L1577" t="s">
        <v>47</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1662</v>
      </c>
      <c r="B1578" t="s">
        <v>39</v>
      </c>
      <c r="C1578">
        <v>4</v>
      </c>
      <c r="D1578">
        <v>37.200000000000003</v>
      </c>
      <c r="E1578">
        <v>148.80000000000001</v>
      </c>
      <c r="F1578" s="1">
        <v>45716</v>
      </c>
      <c r="G1578" s="1">
        <v>45722</v>
      </c>
      <c r="H1578" t="s">
        <v>12</v>
      </c>
      <c r="I1578" t="s">
        <v>3</v>
      </c>
      <c r="J1578">
        <v>4</v>
      </c>
      <c r="K1578" t="s">
        <v>4</v>
      </c>
      <c r="L1578" t="s">
        <v>47</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1663</v>
      </c>
      <c r="B1579" t="s">
        <v>31</v>
      </c>
      <c r="C1579">
        <v>3</v>
      </c>
      <c r="D1579">
        <v>53.5</v>
      </c>
      <c r="E1579">
        <v>160.5</v>
      </c>
      <c r="F1579" s="1">
        <v>45716</v>
      </c>
      <c r="G1579" s="1">
        <v>45718</v>
      </c>
      <c r="H1579" t="s">
        <v>12</v>
      </c>
      <c r="I1579" t="s">
        <v>20</v>
      </c>
      <c r="J1579">
        <v>5</v>
      </c>
      <c r="K1579" t="s">
        <v>4</v>
      </c>
      <c r="L1579" t="s">
        <v>57</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1664</v>
      </c>
      <c r="B1580" t="s">
        <v>29</v>
      </c>
      <c r="C1580">
        <v>3</v>
      </c>
      <c r="D1580">
        <v>43.6</v>
      </c>
      <c r="E1580">
        <v>130.80000000000001</v>
      </c>
      <c r="F1580" s="1">
        <v>45716</v>
      </c>
      <c r="G1580" s="1">
        <v>45716</v>
      </c>
      <c r="H1580" t="s">
        <v>12</v>
      </c>
      <c r="I1580" t="s">
        <v>3</v>
      </c>
      <c r="J1580">
        <v>4</v>
      </c>
      <c r="K1580" t="s">
        <v>4</v>
      </c>
      <c r="L1580" t="s">
        <v>57</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1665</v>
      </c>
      <c r="B1581" t="s">
        <v>7</v>
      </c>
      <c r="C1581">
        <v>10</v>
      </c>
      <c r="D1581">
        <v>135</v>
      </c>
      <c r="E1581">
        <v>1350</v>
      </c>
      <c r="F1581" s="1">
        <v>45716</v>
      </c>
      <c r="G1581" s="1">
        <v>45718</v>
      </c>
      <c r="H1581" t="s">
        <v>12</v>
      </c>
      <c r="I1581" t="s">
        <v>3</v>
      </c>
      <c r="J1581">
        <v>5</v>
      </c>
      <c r="K1581" t="s">
        <v>4</v>
      </c>
      <c r="L1581" t="s">
        <v>57</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1666</v>
      </c>
      <c r="B1582" t="s">
        <v>29</v>
      </c>
      <c r="C1582">
        <v>5</v>
      </c>
      <c r="D1582">
        <v>38.5</v>
      </c>
      <c r="E1582">
        <v>192.5</v>
      </c>
      <c r="F1582" s="1">
        <v>45716</v>
      </c>
      <c r="G1582" s="1">
        <v>45716</v>
      </c>
      <c r="H1582" t="s">
        <v>8</v>
      </c>
      <c r="I1582" t="s">
        <v>55</v>
      </c>
      <c r="J1582">
        <v>5</v>
      </c>
      <c r="K1582" t="s">
        <v>4</v>
      </c>
      <c r="L1582" t="s">
        <v>59</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1667</v>
      </c>
      <c r="B1583" t="s">
        <v>31</v>
      </c>
      <c r="C1583">
        <v>2</v>
      </c>
      <c r="D1583">
        <v>24</v>
      </c>
      <c r="E1583">
        <v>48</v>
      </c>
      <c r="F1583" s="1">
        <v>45716</v>
      </c>
      <c r="G1583" s="1">
        <v>45721</v>
      </c>
      <c r="H1583" t="s">
        <v>12</v>
      </c>
      <c r="I1583" t="s">
        <v>3</v>
      </c>
      <c r="J1583">
        <v>4</v>
      </c>
      <c r="K1583" t="s">
        <v>4</v>
      </c>
      <c r="L1583" t="s">
        <v>62</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1668</v>
      </c>
      <c r="B1584" t="s">
        <v>17</v>
      </c>
      <c r="C1584">
        <v>3</v>
      </c>
      <c r="D1584">
        <v>28.2</v>
      </c>
      <c r="E1584">
        <v>84.6</v>
      </c>
      <c r="F1584" s="1">
        <v>45716</v>
      </c>
      <c r="G1584" s="1">
        <v>45718</v>
      </c>
      <c r="H1584" t="s">
        <v>8</v>
      </c>
      <c r="I1584" t="s">
        <v>3</v>
      </c>
      <c r="J1584">
        <v>1</v>
      </c>
      <c r="K1584" t="s">
        <v>4</v>
      </c>
      <c r="L1584" t="s">
        <v>93</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1669</v>
      </c>
      <c r="B1585" t="s">
        <v>27</v>
      </c>
      <c r="C1585">
        <v>3</v>
      </c>
      <c r="D1585">
        <v>37.4</v>
      </c>
      <c r="E1585">
        <v>112.19999999999999</v>
      </c>
      <c r="F1585" s="1">
        <v>45716</v>
      </c>
      <c r="G1585" s="1">
        <v>45717</v>
      </c>
      <c r="H1585" t="s">
        <v>12</v>
      </c>
      <c r="I1585" t="s">
        <v>36</v>
      </c>
      <c r="J1585">
        <v>4</v>
      </c>
      <c r="K1585" t="s">
        <v>4</v>
      </c>
      <c r="L1585" t="s">
        <v>9</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1670</v>
      </c>
      <c r="B1586" t="s">
        <v>24</v>
      </c>
      <c r="C1586">
        <v>3</v>
      </c>
      <c r="D1586">
        <v>53.5</v>
      </c>
      <c r="E1586">
        <v>160.5</v>
      </c>
      <c r="F1586" s="1">
        <v>45716</v>
      </c>
      <c r="G1586" s="1">
        <v>45719</v>
      </c>
      <c r="H1586" t="s">
        <v>2</v>
      </c>
      <c r="I1586" t="s">
        <v>55</v>
      </c>
      <c r="J1586">
        <v>2</v>
      </c>
      <c r="K1586" t="s">
        <v>4</v>
      </c>
      <c r="L1586" t="s">
        <v>9</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1671</v>
      </c>
      <c r="B1587" t="s">
        <v>52</v>
      </c>
      <c r="C1587">
        <v>5</v>
      </c>
      <c r="D1587">
        <v>36.200000000000003</v>
      </c>
      <c r="E1587">
        <v>181</v>
      </c>
      <c r="F1587" s="1">
        <v>45716</v>
      </c>
      <c r="G1587" s="1">
        <v>45717</v>
      </c>
      <c r="H1587" t="s">
        <v>8</v>
      </c>
      <c r="I1587" t="s">
        <v>20</v>
      </c>
      <c r="J1587">
        <v>5</v>
      </c>
      <c r="K1587" t="s">
        <v>4</v>
      </c>
      <c r="L1587" t="s">
        <v>316</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1672</v>
      </c>
      <c r="B1588" t="s">
        <v>1</v>
      </c>
      <c r="C1588">
        <v>8</v>
      </c>
      <c r="D1588">
        <v>31.9</v>
      </c>
      <c r="E1588">
        <v>255.2</v>
      </c>
      <c r="F1588" s="1">
        <v>45716</v>
      </c>
      <c r="G1588" s="1">
        <v>45717</v>
      </c>
      <c r="H1588" t="s">
        <v>12</v>
      </c>
      <c r="I1588" t="s">
        <v>55</v>
      </c>
      <c r="J1588">
        <v>4</v>
      </c>
      <c r="K1588" t="s">
        <v>4</v>
      </c>
      <c r="L1588" t="s">
        <v>18</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1673</v>
      </c>
      <c r="B1589" t="s">
        <v>29</v>
      </c>
      <c r="C1589">
        <v>3</v>
      </c>
      <c r="D1589">
        <v>21.3</v>
      </c>
      <c r="E1589">
        <v>63.900000000000006</v>
      </c>
      <c r="F1589" s="1">
        <v>45716</v>
      </c>
      <c r="G1589" s="1">
        <v>45717</v>
      </c>
      <c r="H1589" t="s">
        <v>8</v>
      </c>
      <c r="I1589" t="s">
        <v>3</v>
      </c>
      <c r="J1589">
        <v>5</v>
      </c>
      <c r="K1589" t="s">
        <v>4</v>
      </c>
      <c r="L1589" t="s">
        <v>18</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1674</v>
      </c>
      <c r="B1590" t="s">
        <v>29</v>
      </c>
      <c r="C1590">
        <v>1</v>
      </c>
      <c r="D1590">
        <v>36.299999999999997</v>
      </c>
      <c r="E1590">
        <v>36.299999999999997</v>
      </c>
      <c r="F1590" s="1">
        <v>45716</v>
      </c>
      <c r="G1590" s="1">
        <v>45718</v>
      </c>
      <c r="H1590" t="s">
        <v>74</v>
      </c>
      <c r="I1590" t="s">
        <v>55</v>
      </c>
      <c r="J1590">
        <v>4</v>
      </c>
      <c r="K1590" t="s">
        <v>4</v>
      </c>
      <c r="L1590" t="s">
        <v>18</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1675</v>
      </c>
      <c r="B1591" t="s">
        <v>24</v>
      </c>
      <c r="C1591">
        <v>3</v>
      </c>
      <c r="D1591">
        <v>110.5</v>
      </c>
      <c r="E1591">
        <v>331.5</v>
      </c>
      <c r="F1591" s="1">
        <v>45716</v>
      </c>
      <c r="G1591" s="1">
        <v>45717</v>
      </c>
      <c r="H1591" t="s">
        <v>12</v>
      </c>
      <c r="I1591" t="s">
        <v>3</v>
      </c>
      <c r="J1591">
        <v>1</v>
      </c>
      <c r="K1591" t="s">
        <v>4</v>
      </c>
      <c r="L1591" t="s">
        <v>18</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1676</v>
      </c>
      <c r="B1592" t="s">
        <v>39</v>
      </c>
      <c r="C1592">
        <v>7</v>
      </c>
      <c r="D1592">
        <v>32.6</v>
      </c>
      <c r="E1592">
        <v>228.20000000000002</v>
      </c>
      <c r="F1592" s="1">
        <v>45716</v>
      </c>
      <c r="G1592" s="1">
        <v>45718</v>
      </c>
      <c r="H1592" t="s">
        <v>12</v>
      </c>
      <c r="I1592" t="s">
        <v>3</v>
      </c>
      <c r="J1592">
        <v>3</v>
      </c>
      <c r="K1592" t="s">
        <v>4</v>
      </c>
      <c r="L1592" t="s">
        <v>18</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1677</v>
      </c>
      <c r="B1593" t="s">
        <v>22</v>
      </c>
      <c r="C1593">
        <v>3</v>
      </c>
      <c r="D1593">
        <v>55.6</v>
      </c>
      <c r="E1593">
        <v>166.8</v>
      </c>
      <c r="F1593" s="1">
        <v>45717</v>
      </c>
      <c r="G1593" s="1">
        <v>45730</v>
      </c>
      <c r="H1593" t="s">
        <v>12</v>
      </c>
      <c r="I1593" t="s">
        <v>3</v>
      </c>
      <c r="J1593">
        <v>4</v>
      </c>
      <c r="K1593" t="s">
        <v>4</v>
      </c>
      <c r="L1593" t="s">
        <v>18</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1678</v>
      </c>
      <c r="B1594" t="s">
        <v>7</v>
      </c>
      <c r="C1594">
        <v>4</v>
      </c>
      <c r="D1594">
        <v>38</v>
      </c>
      <c r="E1594">
        <v>152</v>
      </c>
      <c r="F1594" s="1">
        <v>45717</v>
      </c>
      <c r="G1594" s="1">
        <v>45718</v>
      </c>
      <c r="H1594" t="s">
        <v>12</v>
      </c>
      <c r="I1594" t="s">
        <v>36</v>
      </c>
      <c r="J1594">
        <v>5</v>
      </c>
      <c r="K1594" t="s">
        <v>4</v>
      </c>
      <c r="L1594" t="s">
        <v>37</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1679</v>
      </c>
      <c r="B1595" t="s">
        <v>39</v>
      </c>
      <c r="C1595">
        <v>2</v>
      </c>
      <c r="D1595">
        <v>51.8</v>
      </c>
      <c r="E1595">
        <v>103.6</v>
      </c>
      <c r="F1595" s="1">
        <v>45717</v>
      </c>
      <c r="G1595" s="1">
        <v>45723</v>
      </c>
      <c r="H1595" t="s">
        <v>8</v>
      </c>
      <c r="I1595" t="s">
        <v>20</v>
      </c>
      <c r="J1595">
        <v>2</v>
      </c>
      <c r="K1595" t="s">
        <v>4</v>
      </c>
      <c r="L1595" t="s">
        <v>40</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1680</v>
      </c>
      <c r="B1596" t="s">
        <v>52</v>
      </c>
      <c r="C1596">
        <v>8</v>
      </c>
      <c r="D1596">
        <v>28.7</v>
      </c>
      <c r="E1596">
        <v>229.6</v>
      </c>
      <c r="F1596" s="1">
        <v>45717</v>
      </c>
      <c r="G1596" s="1">
        <v>45722</v>
      </c>
      <c r="H1596" t="s">
        <v>12</v>
      </c>
      <c r="I1596" t="s">
        <v>3</v>
      </c>
      <c r="J1596">
        <v>4</v>
      </c>
      <c r="K1596" t="s">
        <v>4</v>
      </c>
      <c r="L1596" t="s">
        <v>40</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1681</v>
      </c>
      <c r="B1597" t="s">
        <v>24</v>
      </c>
      <c r="C1597">
        <v>12</v>
      </c>
      <c r="D1597">
        <v>52.2</v>
      </c>
      <c r="E1597">
        <v>626.40000000000009</v>
      </c>
      <c r="F1597" s="1">
        <v>45717</v>
      </c>
      <c r="G1597" s="1">
        <v>45717</v>
      </c>
      <c r="H1597" t="s">
        <v>8</v>
      </c>
      <c r="I1597" t="s">
        <v>3</v>
      </c>
      <c r="J1597">
        <v>3</v>
      </c>
      <c r="K1597" t="s">
        <v>4</v>
      </c>
      <c r="L1597" t="s">
        <v>40</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1682</v>
      </c>
      <c r="B1598" t="s">
        <v>7</v>
      </c>
      <c r="C1598">
        <v>2</v>
      </c>
      <c r="D1598">
        <v>68.2</v>
      </c>
      <c r="E1598">
        <v>136.4</v>
      </c>
      <c r="F1598" s="1">
        <v>45717</v>
      </c>
      <c r="G1598" s="1">
        <v>45718</v>
      </c>
      <c r="H1598" t="s">
        <v>2</v>
      </c>
      <c r="I1598" t="s">
        <v>25</v>
      </c>
      <c r="J1598">
        <v>4</v>
      </c>
      <c r="K1598" t="s">
        <v>4</v>
      </c>
      <c r="L1598" t="s">
        <v>44</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1683</v>
      </c>
      <c r="B1599" t="s">
        <v>1</v>
      </c>
      <c r="C1599">
        <v>3</v>
      </c>
      <c r="D1599">
        <v>34</v>
      </c>
      <c r="E1599">
        <v>102</v>
      </c>
      <c r="F1599" s="1">
        <v>45717</v>
      </c>
      <c r="G1599" s="1">
        <v>45721</v>
      </c>
      <c r="H1599" t="s">
        <v>12</v>
      </c>
      <c r="I1599" t="s">
        <v>3</v>
      </c>
      <c r="J1599">
        <v>4</v>
      </c>
      <c r="K1599" t="s">
        <v>4</v>
      </c>
      <c r="L1599" t="s">
        <v>47</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1684</v>
      </c>
      <c r="B1600" t="s">
        <v>29</v>
      </c>
      <c r="C1600">
        <v>3</v>
      </c>
      <c r="D1600">
        <v>19.100000000000001</v>
      </c>
      <c r="E1600">
        <v>57.300000000000004</v>
      </c>
      <c r="F1600" s="1">
        <v>45717</v>
      </c>
      <c r="G1600" s="1">
        <v>45718</v>
      </c>
      <c r="H1600" t="s">
        <v>12</v>
      </c>
      <c r="I1600" t="s">
        <v>55</v>
      </c>
      <c r="J1600">
        <v>4</v>
      </c>
      <c r="K1600" t="s">
        <v>4</v>
      </c>
      <c r="L1600" t="s">
        <v>47</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1685</v>
      </c>
      <c r="B1601" t="s">
        <v>22</v>
      </c>
      <c r="C1601">
        <v>8</v>
      </c>
      <c r="D1601">
        <v>34</v>
      </c>
      <c r="E1601">
        <v>272</v>
      </c>
      <c r="F1601" s="1">
        <v>45717</v>
      </c>
      <c r="G1601" s="1">
        <v>45725</v>
      </c>
      <c r="H1601" t="s">
        <v>12</v>
      </c>
      <c r="I1601" t="s">
        <v>55</v>
      </c>
      <c r="J1601">
        <v>4</v>
      </c>
      <c r="K1601" t="s">
        <v>4</v>
      </c>
      <c r="L1601" t="s">
        <v>47</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1686</v>
      </c>
      <c r="B1602" t="s">
        <v>54</v>
      </c>
      <c r="C1602">
        <v>2</v>
      </c>
      <c r="D1602">
        <v>109.1</v>
      </c>
      <c r="E1602">
        <v>218.2</v>
      </c>
      <c r="F1602" s="1">
        <v>45717</v>
      </c>
      <c r="G1602" s="1">
        <v>45719</v>
      </c>
      <c r="H1602" t="s">
        <v>8</v>
      </c>
      <c r="I1602" t="s">
        <v>3</v>
      </c>
      <c r="J1602">
        <v>5</v>
      </c>
      <c r="K1602" t="s">
        <v>4</v>
      </c>
      <c r="L1602" t="s">
        <v>47</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1687</v>
      </c>
      <c r="B1603" t="s">
        <v>131</v>
      </c>
      <c r="C1603">
        <v>2</v>
      </c>
      <c r="D1603">
        <v>64.8</v>
      </c>
      <c r="E1603">
        <v>129.6</v>
      </c>
      <c r="F1603" s="1">
        <v>45717</v>
      </c>
      <c r="G1603" s="1">
        <v>45719</v>
      </c>
      <c r="H1603" t="s">
        <v>8</v>
      </c>
      <c r="I1603" t="s">
        <v>3</v>
      </c>
      <c r="J1603">
        <v>5</v>
      </c>
      <c r="K1603" t="s">
        <v>4</v>
      </c>
      <c r="L1603" t="s">
        <v>47</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1688</v>
      </c>
      <c r="B1604" t="s">
        <v>39</v>
      </c>
      <c r="C1604">
        <v>2</v>
      </c>
      <c r="D1604">
        <v>21.1</v>
      </c>
      <c r="E1604">
        <v>42.2</v>
      </c>
      <c r="F1604" s="1">
        <v>45717</v>
      </c>
      <c r="G1604" s="1">
        <v>45717</v>
      </c>
      <c r="H1604" t="s">
        <v>12</v>
      </c>
      <c r="I1604" t="s">
        <v>20</v>
      </c>
      <c r="J1604">
        <v>4</v>
      </c>
      <c r="K1604" t="s">
        <v>4</v>
      </c>
      <c r="L1604" t="s">
        <v>62</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1689</v>
      </c>
      <c r="B1605" t="s">
        <v>1</v>
      </c>
      <c r="C1605">
        <v>8</v>
      </c>
      <c r="D1605">
        <v>21.3</v>
      </c>
      <c r="E1605">
        <v>170.4</v>
      </c>
      <c r="F1605" s="1">
        <v>45717</v>
      </c>
      <c r="G1605" s="1">
        <v>45719</v>
      </c>
      <c r="H1605" t="s">
        <v>8</v>
      </c>
      <c r="I1605" t="s">
        <v>36</v>
      </c>
      <c r="J1605">
        <v>3</v>
      </c>
      <c r="K1605" t="s">
        <v>4</v>
      </c>
      <c r="L1605" t="s">
        <v>93</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1690</v>
      </c>
      <c r="B1606" t="s">
        <v>31</v>
      </c>
      <c r="C1606">
        <v>3</v>
      </c>
      <c r="D1606">
        <v>24.3</v>
      </c>
      <c r="E1606">
        <v>72.900000000000006</v>
      </c>
      <c r="F1606" s="1">
        <v>45717</v>
      </c>
      <c r="G1606" s="1">
        <v>45718</v>
      </c>
      <c r="H1606" t="s">
        <v>8</v>
      </c>
      <c r="I1606" t="s">
        <v>20</v>
      </c>
      <c r="J1606">
        <v>4</v>
      </c>
      <c r="K1606" t="s">
        <v>4</v>
      </c>
      <c r="L1606" t="s">
        <v>95</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1691</v>
      </c>
      <c r="B1607" t="s">
        <v>29</v>
      </c>
      <c r="C1607">
        <v>1</v>
      </c>
      <c r="D1607">
        <v>43.3</v>
      </c>
      <c r="E1607">
        <v>43.3</v>
      </c>
      <c r="F1607" s="1">
        <v>45717</v>
      </c>
      <c r="G1607" s="1">
        <v>45721</v>
      </c>
      <c r="H1607" t="s">
        <v>8</v>
      </c>
      <c r="I1607" t="s">
        <v>20</v>
      </c>
      <c r="J1607">
        <v>3</v>
      </c>
      <c r="K1607" t="s">
        <v>4</v>
      </c>
      <c r="L1607" t="s">
        <v>67</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1692</v>
      </c>
      <c r="B1608" t="s">
        <v>31</v>
      </c>
      <c r="C1608">
        <v>3</v>
      </c>
      <c r="D1608">
        <v>41</v>
      </c>
      <c r="E1608">
        <v>123</v>
      </c>
      <c r="F1608" s="1">
        <v>45717</v>
      </c>
      <c r="G1608" s="1">
        <v>45718</v>
      </c>
      <c r="H1608" t="s">
        <v>12</v>
      </c>
      <c r="I1608" t="s">
        <v>36</v>
      </c>
      <c r="J1608">
        <v>2</v>
      </c>
      <c r="K1608" t="s">
        <v>4</v>
      </c>
      <c r="L1608" t="s">
        <v>100</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1693</v>
      </c>
      <c r="B1609" t="s">
        <v>113</v>
      </c>
      <c r="C1609">
        <v>3</v>
      </c>
      <c r="D1609">
        <v>54.1</v>
      </c>
      <c r="E1609">
        <v>162.30000000000001</v>
      </c>
      <c r="F1609" s="1">
        <v>45717</v>
      </c>
      <c r="G1609" s="1">
        <v>45719</v>
      </c>
      <c r="H1609" t="s">
        <v>12</v>
      </c>
      <c r="I1609" t="s">
        <v>55</v>
      </c>
      <c r="J1609">
        <v>4</v>
      </c>
      <c r="K1609" t="s">
        <v>4</v>
      </c>
      <c r="L1609" t="s">
        <v>100</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1694</v>
      </c>
      <c r="B1610" t="s">
        <v>52</v>
      </c>
      <c r="C1610">
        <v>2</v>
      </c>
      <c r="D1610">
        <v>39</v>
      </c>
      <c r="E1610">
        <v>78</v>
      </c>
      <c r="F1610" s="1">
        <v>45717</v>
      </c>
      <c r="G1610" s="1">
        <v>45718</v>
      </c>
      <c r="H1610" t="s">
        <v>8</v>
      </c>
      <c r="I1610" t="s">
        <v>20</v>
      </c>
      <c r="J1610">
        <v>5</v>
      </c>
      <c r="K1610" t="s">
        <v>4</v>
      </c>
      <c r="L1610" t="s">
        <v>9</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1695</v>
      </c>
      <c r="B1611" t="s">
        <v>29</v>
      </c>
      <c r="C1611">
        <v>2</v>
      </c>
      <c r="D1611">
        <v>40.299999999999997</v>
      </c>
      <c r="E1611">
        <v>80.599999999999994</v>
      </c>
      <c r="F1611" s="1">
        <v>45717</v>
      </c>
      <c r="G1611" s="1">
        <v>45719</v>
      </c>
      <c r="H1611" t="s">
        <v>8</v>
      </c>
      <c r="I1611" t="s">
        <v>36</v>
      </c>
      <c r="J1611">
        <v>4</v>
      </c>
      <c r="K1611" t="s">
        <v>4</v>
      </c>
      <c r="L1611" t="s">
        <v>193</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1696</v>
      </c>
      <c r="B1612" t="s">
        <v>29</v>
      </c>
      <c r="C1612">
        <v>3</v>
      </c>
      <c r="D1612">
        <v>24.1</v>
      </c>
      <c r="E1612">
        <v>72.300000000000011</v>
      </c>
      <c r="F1612" s="1">
        <v>45717</v>
      </c>
      <c r="G1612" s="1">
        <v>45718</v>
      </c>
      <c r="H1612" t="s">
        <v>8</v>
      </c>
      <c r="I1612" t="s">
        <v>3</v>
      </c>
      <c r="J1612">
        <v>5</v>
      </c>
      <c r="K1612" t="s">
        <v>4</v>
      </c>
      <c r="L1612" t="s">
        <v>319</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1697</v>
      </c>
      <c r="B1613" t="s">
        <v>24</v>
      </c>
      <c r="C1613">
        <v>5</v>
      </c>
      <c r="D1613">
        <v>52.3</v>
      </c>
      <c r="E1613">
        <v>261.5</v>
      </c>
      <c r="F1613" s="1">
        <v>45717</v>
      </c>
      <c r="G1613" s="1">
        <v>45718</v>
      </c>
      <c r="H1613" t="s">
        <v>8</v>
      </c>
      <c r="I1613" t="s">
        <v>25</v>
      </c>
      <c r="J1613">
        <v>4</v>
      </c>
      <c r="K1613" t="s">
        <v>4</v>
      </c>
      <c r="L1613" t="s">
        <v>18</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1698</v>
      </c>
      <c r="B1614" t="s">
        <v>54</v>
      </c>
      <c r="C1614">
        <v>4</v>
      </c>
      <c r="D1614">
        <v>68.8</v>
      </c>
      <c r="E1614">
        <v>275.2</v>
      </c>
      <c r="F1614" s="1">
        <v>45717</v>
      </c>
      <c r="G1614" s="1">
        <v>45721</v>
      </c>
      <c r="H1614" t="s">
        <v>12</v>
      </c>
      <c r="I1614" t="s">
        <v>55</v>
      </c>
      <c r="J1614">
        <v>5</v>
      </c>
      <c r="K1614" t="s">
        <v>4</v>
      </c>
      <c r="L1614" t="s">
        <v>18</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1699</v>
      </c>
      <c r="B1615" t="s">
        <v>11</v>
      </c>
      <c r="C1615">
        <v>2</v>
      </c>
      <c r="D1615">
        <v>128.80000000000001</v>
      </c>
      <c r="E1615">
        <v>257.60000000000002</v>
      </c>
      <c r="F1615" s="1">
        <v>45718</v>
      </c>
      <c r="G1615" s="1">
        <v>45721</v>
      </c>
      <c r="H1615" t="s">
        <v>12</v>
      </c>
      <c r="I1615" t="s">
        <v>20</v>
      </c>
      <c r="J1615">
        <v>3</v>
      </c>
      <c r="K1615" t="s">
        <v>4</v>
      </c>
      <c r="L1615" t="s">
        <v>18</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1700</v>
      </c>
      <c r="B1616" t="s">
        <v>108</v>
      </c>
      <c r="C1616">
        <v>5</v>
      </c>
      <c r="D1616">
        <v>48.2</v>
      </c>
      <c r="E1616">
        <v>241</v>
      </c>
      <c r="F1616" s="1">
        <v>45718</v>
      </c>
      <c r="G1616" s="1">
        <v>45720</v>
      </c>
      <c r="H1616" t="s">
        <v>12</v>
      </c>
      <c r="I1616" t="s">
        <v>36</v>
      </c>
      <c r="J1616">
        <v>4</v>
      </c>
      <c r="K1616" t="s">
        <v>4</v>
      </c>
      <c r="L1616" t="s">
        <v>18</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1701</v>
      </c>
      <c r="B1617" t="s">
        <v>39</v>
      </c>
      <c r="C1617">
        <v>1</v>
      </c>
      <c r="D1617">
        <v>39.700000000000003</v>
      </c>
      <c r="E1617">
        <v>39.700000000000003</v>
      </c>
      <c r="F1617" s="1">
        <v>45718</v>
      </c>
      <c r="G1617" s="1">
        <v>45720</v>
      </c>
      <c r="H1617" t="s">
        <v>12</v>
      </c>
      <c r="I1617" t="s">
        <v>3</v>
      </c>
      <c r="J1617">
        <v>3</v>
      </c>
      <c r="K1617" t="s">
        <v>4</v>
      </c>
      <c r="L1617" t="s">
        <v>18</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1702</v>
      </c>
      <c r="B1618" t="s">
        <v>31</v>
      </c>
      <c r="C1618">
        <v>1</v>
      </c>
      <c r="D1618">
        <v>59.7</v>
      </c>
      <c r="E1618">
        <v>59.7</v>
      </c>
      <c r="F1618" s="1">
        <v>45718</v>
      </c>
      <c r="G1618" s="1">
        <v>45721</v>
      </c>
      <c r="H1618" t="s">
        <v>12</v>
      </c>
      <c r="I1618" t="s">
        <v>55</v>
      </c>
      <c r="J1618">
        <v>4</v>
      </c>
      <c r="K1618" t="s">
        <v>4</v>
      </c>
      <c r="L1618" t="s">
        <v>18</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1703</v>
      </c>
      <c r="B1619" t="s">
        <v>24</v>
      </c>
      <c r="C1619">
        <v>1</v>
      </c>
      <c r="D1619">
        <v>48.3</v>
      </c>
      <c r="E1619">
        <v>48.3</v>
      </c>
      <c r="F1619" s="1">
        <v>45718</v>
      </c>
      <c r="G1619" s="1">
        <v>45732</v>
      </c>
      <c r="H1619" t="s">
        <v>74</v>
      </c>
      <c r="I1619" t="s">
        <v>3</v>
      </c>
      <c r="J1619">
        <v>5</v>
      </c>
      <c r="K1619" t="s">
        <v>4</v>
      </c>
      <c r="L1619" t="s">
        <v>18</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1704</v>
      </c>
      <c r="B1620" t="s">
        <v>29</v>
      </c>
      <c r="C1620">
        <v>3</v>
      </c>
      <c r="D1620">
        <v>45.5</v>
      </c>
      <c r="E1620">
        <v>136.5</v>
      </c>
      <c r="F1620" s="1">
        <v>45718</v>
      </c>
      <c r="G1620" s="1">
        <v>45720</v>
      </c>
      <c r="H1620" t="s">
        <v>8</v>
      </c>
      <c r="I1620" t="s">
        <v>25</v>
      </c>
      <c r="J1620">
        <v>3</v>
      </c>
      <c r="K1620" t="s">
        <v>4</v>
      </c>
      <c r="L1620" t="s">
        <v>18</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1705</v>
      </c>
      <c r="B1621" t="s">
        <v>31</v>
      </c>
      <c r="C1621">
        <v>27</v>
      </c>
      <c r="D1621">
        <v>51</v>
      </c>
      <c r="E1621">
        <v>1377</v>
      </c>
      <c r="F1621" s="1">
        <v>45718</v>
      </c>
      <c r="G1621" s="1">
        <v>45718</v>
      </c>
      <c r="H1621" t="s">
        <v>12</v>
      </c>
      <c r="I1621" t="s">
        <v>25</v>
      </c>
      <c r="J1621">
        <v>4</v>
      </c>
      <c r="K1621" t="s">
        <v>4</v>
      </c>
      <c r="L1621" t="s">
        <v>18</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1706</v>
      </c>
      <c r="B1622" t="s">
        <v>17</v>
      </c>
      <c r="C1622">
        <v>6</v>
      </c>
      <c r="D1622">
        <v>20.399999999999999</v>
      </c>
      <c r="E1622">
        <v>122.39999999999999</v>
      </c>
      <c r="F1622" s="1">
        <v>45718</v>
      </c>
      <c r="G1622" s="1">
        <v>45719</v>
      </c>
      <c r="H1622" t="s">
        <v>8</v>
      </c>
      <c r="I1622" t="s">
        <v>25</v>
      </c>
      <c r="J1622">
        <v>4</v>
      </c>
      <c r="K1622" t="s">
        <v>4</v>
      </c>
      <c r="L1622" t="s">
        <v>18</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1707</v>
      </c>
      <c r="B1623" t="s">
        <v>39</v>
      </c>
      <c r="C1623">
        <v>2</v>
      </c>
      <c r="D1623">
        <v>30.4</v>
      </c>
      <c r="E1623">
        <v>60.8</v>
      </c>
      <c r="F1623" s="1">
        <v>45718</v>
      </c>
      <c r="G1623" s="1">
        <v>45720</v>
      </c>
      <c r="H1623" t="s">
        <v>8</v>
      </c>
      <c r="I1623" t="s">
        <v>25</v>
      </c>
      <c r="J1623">
        <v>4</v>
      </c>
      <c r="K1623" t="s">
        <v>4</v>
      </c>
      <c r="L1623" t="s">
        <v>18</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1708</v>
      </c>
      <c r="B1624" t="s">
        <v>27</v>
      </c>
      <c r="C1624">
        <v>2</v>
      </c>
      <c r="D1624">
        <v>71.5</v>
      </c>
      <c r="E1624">
        <v>143</v>
      </c>
      <c r="F1624" s="1">
        <v>45718</v>
      </c>
      <c r="G1624" s="1">
        <v>45722</v>
      </c>
      <c r="H1624" t="s">
        <v>12</v>
      </c>
      <c r="I1624" t="s">
        <v>3</v>
      </c>
      <c r="J1624">
        <v>4</v>
      </c>
      <c r="K1624" t="s">
        <v>4</v>
      </c>
      <c r="L1624" t="s">
        <v>18</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1709</v>
      </c>
      <c r="B1625" t="s">
        <v>29</v>
      </c>
      <c r="C1625">
        <v>6</v>
      </c>
      <c r="D1625">
        <v>18</v>
      </c>
      <c r="E1625">
        <v>108</v>
      </c>
      <c r="F1625" s="1">
        <v>45718</v>
      </c>
      <c r="G1625" s="1">
        <v>45719</v>
      </c>
      <c r="H1625" t="s">
        <v>74</v>
      </c>
      <c r="I1625" t="s">
        <v>20</v>
      </c>
      <c r="J1625">
        <v>5</v>
      </c>
      <c r="K1625" t="s">
        <v>4</v>
      </c>
      <c r="L1625" t="s">
        <v>40</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1710</v>
      </c>
      <c r="B1626" t="s">
        <v>108</v>
      </c>
      <c r="C1626">
        <v>11</v>
      </c>
      <c r="D1626">
        <v>45.6</v>
      </c>
      <c r="E1626">
        <v>501.6</v>
      </c>
      <c r="F1626" s="1">
        <v>45718</v>
      </c>
      <c r="G1626" s="1">
        <v>45719</v>
      </c>
      <c r="H1626" t="s">
        <v>74</v>
      </c>
      <c r="I1626" t="s">
        <v>20</v>
      </c>
      <c r="J1626">
        <v>3</v>
      </c>
      <c r="K1626" t="s">
        <v>4</v>
      </c>
      <c r="L1626" t="s">
        <v>44</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1711</v>
      </c>
      <c r="B1627" t="s">
        <v>31</v>
      </c>
      <c r="C1627">
        <v>1</v>
      </c>
      <c r="D1627">
        <v>31.8</v>
      </c>
      <c r="E1627">
        <v>31.8</v>
      </c>
      <c r="F1627" s="1">
        <v>45718</v>
      </c>
      <c r="G1627" s="1">
        <v>45722</v>
      </c>
      <c r="H1627" t="s">
        <v>12</v>
      </c>
      <c r="I1627" t="s">
        <v>3</v>
      </c>
      <c r="J1627">
        <v>5</v>
      </c>
      <c r="K1627" t="s">
        <v>4</v>
      </c>
      <c r="L1627" t="s">
        <v>44</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1712</v>
      </c>
      <c r="B1628" t="s">
        <v>29</v>
      </c>
      <c r="C1628">
        <v>5</v>
      </c>
      <c r="D1628">
        <v>19.899999999999999</v>
      </c>
      <c r="E1628">
        <v>99.5</v>
      </c>
      <c r="F1628" s="1">
        <v>45718</v>
      </c>
      <c r="G1628" s="1">
        <v>45719</v>
      </c>
      <c r="H1628" t="s">
        <v>12</v>
      </c>
      <c r="I1628" t="s">
        <v>20</v>
      </c>
      <c r="J1628">
        <v>4</v>
      </c>
      <c r="K1628" t="s">
        <v>4</v>
      </c>
      <c r="L1628" t="s">
        <v>44</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1713</v>
      </c>
      <c r="B1629" t="s">
        <v>54</v>
      </c>
      <c r="C1629">
        <v>9</v>
      </c>
      <c r="D1629">
        <v>52.1</v>
      </c>
      <c r="E1629">
        <v>468.90000000000003</v>
      </c>
      <c r="F1629" s="1">
        <v>45718</v>
      </c>
      <c r="G1629" s="1">
        <v>45720</v>
      </c>
      <c r="H1629" t="s">
        <v>8</v>
      </c>
      <c r="I1629" t="s">
        <v>3</v>
      </c>
      <c r="J1629">
        <v>4</v>
      </c>
      <c r="K1629" t="s">
        <v>4</v>
      </c>
      <c r="L1629" t="s">
        <v>47</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1714</v>
      </c>
      <c r="B1630" t="s">
        <v>7</v>
      </c>
      <c r="C1630">
        <v>7</v>
      </c>
      <c r="D1630">
        <v>45.9</v>
      </c>
      <c r="E1630">
        <v>321.3</v>
      </c>
      <c r="F1630" s="1">
        <v>45718</v>
      </c>
      <c r="G1630" s="1">
        <v>45719</v>
      </c>
      <c r="H1630" t="s">
        <v>8</v>
      </c>
      <c r="I1630" t="s">
        <v>3</v>
      </c>
      <c r="J1630">
        <v>3</v>
      </c>
      <c r="K1630" t="s">
        <v>4</v>
      </c>
      <c r="L1630" t="s">
        <v>47</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1715</v>
      </c>
      <c r="B1631" t="s">
        <v>7</v>
      </c>
      <c r="C1631">
        <v>10</v>
      </c>
      <c r="D1631">
        <v>115.9</v>
      </c>
      <c r="E1631">
        <v>1159</v>
      </c>
      <c r="F1631" s="1">
        <v>45718</v>
      </c>
      <c r="G1631" s="1">
        <v>45721</v>
      </c>
      <c r="H1631" t="s">
        <v>12</v>
      </c>
      <c r="I1631" t="s">
        <v>20</v>
      </c>
      <c r="J1631">
        <v>4</v>
      </c>
      <c r="K1631" t="s">
        <v>4</v>
      </c>
      <c r="L1631" t="s">
        <v>47</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1716</v>
      </c>
      <c r="B1632" t="s">
        <v>24</v>
      </c>
      <c r="C1632">
        <v>9</v>
      </c>
      <c r="D1632">
        <v>86</v>
      </c>
      <c r="E1632">
        <v>774</v>
      </c>
      <c r="F1632" s="1">
        <v>45718</v>
      </c>
      <c r="G1632" s="1">
        <v>45723</v>
      </c>
      <c r="H1632" t="s">
        <v>12</v>
      </c>
      <c r="I1632" t="s">
        <v>3</v>
      </c>
      <c r="J1632">
        <v>3</v>
      </c>
      <c r="K1632" t="s">
        <v>4</v>
      </c>
      <c r="L1632" t="s">
        <v>47</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1717</v>
      </c>
      <c r="B1633" t="s">
        <v>27</v>
      </c>
      <c r="C1633">
        <v>7</v>
      </c>
      <c r="D1633">
        <v>73.599999999999994</v>
      </c>
      <c r="E1633">
        <v>515.19999999999993</v>
      </c>
      <c r="F1633" s="1">
        <v>45718</v>
      </c>
      <c r="G1633" s="1">
        <v>45720</v>
      </c>
      <c r="H1633" t="s">
        <v>12</v>
      </c>
      <c r="I1633" t="s">
        <v>3</v>
      </c>
      <c r="J1633">
        <v>4</v>
      </c>
      <c r="K1633" t="s">
        <v>4</v>
      </c>
      <c r="L1633" t="s">
        <v>88</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1718</v>
      </c>
      <c r="B1634" t="s">
        <v>39</v>
      </c>
      <c r="C1634">
        <v>3</v>
      </c>
      <c r="D1634">
        <v>26.7</v>
      </c>
      <c r="E1634">
        <v>80.099999999999994</v>
      </c>
      <c r="F1634" s="1">
        <v>45718</v>
      </c>
      <c r="G1634" s="1">
        <v>45722</v>
      </c>
      <c r="H1634" t="s">
        <v>12</v>
      </c>
      <c r="I1634" t="s">
        <v>3</v>
      </c>
      <c r="J1634">
        <v>4</v>
      </c>
      <c r="K1634" t="s">
        <v>4</v>
      </c>
      <c r="L1634" t="s">
        <v>62</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1719</v>
      </c>
      <c r="B1635" t="s">
        <v>29</v>
      </c>
      <c r="C1635">
        <v>7</v>
      </c>
      <c r="D1635">
        <v>46.6</v>
      </c>
      <c r="E1635">
        <v>326.2</v>
      </c>
      <c r="F1635" s="1">
        <v>45718</v>
      </c>
      <c r="G1635" s="1">
        <v>45720</v>
      </c>
      <c r="H1635" t="s">
        <v>2</v>
      </c>
      <c r="I1635" t="s">
        <v>36</v>
      </c>
      <c r="J1635">
        <v>4</v>
      </c>
      <c r="K1635" t="s">
        <v>4</v>
      </c>
      <c r="L1635" t="s">
        <v>62</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1720</v>
      </c>
      <c r="B1636" t="s">
        <v>15</v>
      </c>
      <c r="C1636">
        <v>3</v>
      </c>
      <c r="D1636">
        <v>84.6</v>
      </c>
      <c r="E1636">
        <v>253.79999999999998</v>
      </c>
      <c r="F1636" s="1">
        <v>45718</v>
      </c>
      <c r="G1636" s="1">
        <v>45720</v>
      </c>
      <c r="H1636" t="s">
        <v>8</v>
      </c>
      <c r="I1636" t="s">
        <v>55</v>
      </c>
      <c r="J1636">
        <v>4</v>
      </c>
      <c r="K1636" t="s">
        <v>4</v>
      </c>
      <c r="L1636" t="s">
        <v>62</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1721</v>
      </c>
      <c r="B1637" t="s">
        <v>27</v>
      </c>
      <c r="C1637">
        <v>14</v>
      </c>
      <c r="D1637">
        <v>41.5</v>
      </c>
      <c r="E1637">
        <v>581</v>
      </c>
      <c r="F1637" s="1">
        <v>45718</v>
      </c>
      <c r="G1637" s="1">
        <v>45732</v>
      </c>
      <c r="H1637" t="s">
        <v>8</v>
      </c>
      <c r="I1637" t="s">
        <v>20</v>
      </c>
      <c r="J1637">
        <v>4</v>
      </c>
      <c r="K1637" t="s">
        <v>4</v>
      </c>
      <c r="L1637" t="s">
        <v>1101</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1722</v>
      </c>
      <c r="B1638" t="s">
        <v>29</v>
      </c>
      <c r="C1638">
        <v>1</v>
      </c>
      <c r="D1638">
        <v>32.799999999999997</v>
      </c>
      <c r="E1638">
        <v>32.799999999999997</v>
      </c>
      <c r="F1638" s="1">
        <v>45718</v>
      </c>
      <c r="G1638" s="1">
        <v>45721</v>
      </c>
      <c r="H1638" t="s">
        <v>8</v>
      </c>
      <c r="I1638" t="s">
        <v>3</v>
      </c>
      <c r="J1638">
        <v>5</v>
      </c>
      <c r="K1638" t="s">
        <v>4</v>
      </c>
      <c r="L1638" t="s">
        <v>253</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1723</v>
      </c>
      <c r="B1639" t="s">
        <v>17</v>
      </c>
      <c r="C1639">
        <v>7</v>
      </c>
      <c r="D1639">
        <v>46.7</v>
      </c>
      <c r="E1639">
        <v>326.90000000000003</v>
      </c>
      <c r="F1639" s="1">
        <v>45718</v>
      </c>
      <c r="G1639" s="1">
        <v>45720</v>
      </c>
      <c r="H1639" t="s">
        <v>74</v>
      </c>
      <c r="I1639" t="s">
        <v>3</v>
      </c>
      <c r="J1639">
        <v>5</v>
      </c>
      <c r="K1639" t="s">
        <v>4</v>
      </c>
      <c r="L1639" t="s">
        <v>93</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1724</v>
      </c>
      <c r="B1640" t="s">
        <v>108</v>
      </c>
      <c r="C1640">
        <v>7</v>
      </c>
      <c r="D1640">
        <v>21</v>
      </c>
      <c r="E1640">
        <v>147</v>
      </c>
      <c r="F1640" s="1">
        <v>45718</v>
      </c>
      <c r="G1640" s="1">
        <v>45721</v>
      </c>
      <c r="H1640" t="s">
        <v>8</v>
      </c>
      <c r="I1640" t="s">
        <v>25</v>
      </c>
      <c r="J1640">
        <v>3</v>
      </c>
      <c r="K1640" t="s">
        <v>4</v>
      </c>
      <c r="L1640" t="s">
        <v>100</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1725</v>
      </c>
      <c r="B1641" t="s">
        <v>22</v>
      </c>
      <c r="C1641">
        <v>7</v>
      </c>
      <c r="D1641">
        <v>29.4</v>
      </c>
      <c r="E1641">
        <v>205.79999999999998</v>
      </c>
      <c r="F1641" s="1">
        <v>45718</v>
      </c>
      <c r="G1641" s="1">
        <v>45718</v>
      </c>
      <c r="H1641" t="s">
        <v>8</v>
      </c>
      <c r="I1641" t="s">
        <v>36</v>
      </c>
      <c r="J1641">
        <v>5</v>
      </c>
      <c r="K1641" t="s">
        <v>4</v>
      </c>
      <c r="L1641" t="s">
        <v>100</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1726</v>
      </c>
      <c r="B1642" t="s">
        <v>108</v>
      </c>
      <c r="C1642">
        <v>2</v>
      </c>
      <c r="D1642">
        <v>32.299999999999997</v>
      </c>
      <c r="E1642">
        <v>64.599999999999994</v>
      </c>
      <c r="F1642" s="1">
        <v>45718</v>
      </c>
      <c r="G1642" s="1">
        <v>45719</v>
      </c>
      <c r="H1642" t="s">
        <v>8</v>
      </c>
      <c r="I1642" t="s">
        <v>3</v>
      </c>
      <c r="J1642">
        <v>5</v>
      </c>
      <c r="K1642" t="s">
        <v>4</v>
      </c>
      <c r="L1642" t="s">
        <v>100</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1727</v>
      </c>
      <c r="B1643" t="s">
        <v>24</v>
      </c>
      <c r="C1643">
        <v>1</v>
      </c>
      <c r="D1643">
        <v>42.2</v>
      </c>
      <c r="E1643">
        <v>42.2</v>
      </c>
      <c r="F1643" s="1">
        <v>45719</v>
      </c>
      <c r="G1643" s="1">
        <v>45721</v>
      </c>
      <c r="H1643" t="s">
        <v>12</v>
      </c>
      <c r="I1643" t="s">
        <v>3</v>
      </c>
      <c r="J1643">
        <v>5</v>
      </c>
      <c r="K1643" t="s">
        <v>4</v>
      </c>
      <c r="L1643" t="s">
        <v>100</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1728</v>
      </c>
      <c r="B1644" t="s">
        <v>24</v>
      </c>
      <c r="C1644">
        <v>1</v>
      </c>
      <c r="D1644">
        <v>53.7</v>
      </c>
      <c r="E1644">
        <v>53.7</v>
      </c>
      <c r="F1644" s="1">
        <v>45719</v>
      </c>
      <c r="G1644" s="1">
        <v>45721</v>
      </c>
      <c r="H1644" t="s">
        <v>8</v>
      </c>
      <c r="I1644" t="s">
        <v>20</v>
      </c>
      <c r="J1644">
        <v>3</v>
      </c>
      <c r="K1644" t="s">
        <v>4</v>
      </c>
      <c r="L1644" t="s">
        <v>9</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1729</v>
      </c>
      <c r="B1645" t="s">
        <v>11</v>
      </c>
      <c r="C1645">
        <v>2</v>
      </c>
      <c r="D1645">
        <v>123.9</v>
      </c>
      <c r="E1645">
        <v>247.8</v>
      </c>
      <c r="F1645" s="1">
        <v>45719</v>
      </c>
      <c r="G1645" s="1">
        <v>45722</v>
      </c>
      <c r="H1645" t="s">
        <v>8</v>
      </c>
      <c r="I1645" t="s">
        <v>25</v>
      </c>
      <c r="J1645">
        <v>4</v>
      </c>
      <c r="K1645" t="s">
        <v>4</v>
      </c>
      <c r="L1645" t="s">
        <v>9</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1730</v>
      </c>
      <c r="B1646" t="s">
        <v>17</v>
      </c>
      <c r="C1646">
        <v>3</v>
      </c>
      <c r="D1646">
        <v>35.9</v>
      </c>
      <c r="E1646">
        <v>107.69999999999999</v>
      </c>
      <c r="F1646" s="1">
        <v>45719</v>
      </c>
      <c r="G1646" s="1">
        <v>45721</v>
      </c>
      <c r="H1646" t="s">
        <v>8</v>
      </c>
      <c r="I1646" t="s">
        <v>25</v>
      </c>
      <c r="J1646">
        <v>4</v>
      </c>
      <c r="K1646" t="s">
        <v>4</v>
      </c>
      <c r="L1646" t="s">
        <v>132</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1731</v>
      </c>
      <c r="B1647" t="s">
        <v>17</v>
      </c>
      <c r="C1647">
        <v>2</v>
      </c>
      <c r="D1647">
        <v>23.6</v>
      </c>
      <c r="E1647">
        <v>47.2</v>
      </c>
      <c r="F1647" s="1">
        <v>45719</v>
      </c>
      <c r="G1647" s="1">
        <v>45722</v>
      </c>
      <c r="H1647" t="s">
        <v>8</v>
      </c>
      <c r="I1647" t="s">
        <v>3</v>
      </c>
      <c r="J1647">
        <v>5</v>
      </c>
      <c r="K1647" t="s">
        <v>4</v>
      </c>
      <c r="L1647" t="s">
        <v>18</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1732</v>
      </c>
      <c r="B1648" t="s">
        <v>108</v>
      </c>
      <c r="C1648">
        <v>35</v>
      </c>
      <c r="D1648">
        <v>45.7</v>
      </c>
      <c r="E1648">
        <v>1599.5</v>
      </c>
      <c r="F1648" s="1">
        <v>45719</v>
      </c>
      <c r="G1648" s="1">
        <v>45720</v>
      </c>
      <c r="H1648" t="s">
        <v>8</v>
      </c>
      <c r="I1648" t="s">
        <v>3</v>
      </c>
      <c r="J1648">
        <v>3</v>
      </c>
      <c r="K1648" t="s">
        <v>4</v>
      </c>
      <c r="L1648" t="s">
        <v>18</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1733</v>
      </c>
      <c r="B1649" t="s">
        <v>24</v>
      </c>
      <c r="C1649">
        <v>11</v>
      </c>
      <c r="D1649">
        <v>118.3</v>
      </c>
      <c r="E1649">
        <v>1301.3</v>
      </c>
      <c r="F1649" s="1">
        <v>45719</v>
      </c>
      <c r="G1649" s="1">
        <v>45721</v>
      </c>
      <c r="H1649" t="s">
        <v>8</v>
      </c>
      <c r="I1649" t="s">
        <v>55</v>
      </c>
      <c r="J1649">
        <v>5</v>
      </c>
      <c r="K1649" t="s">
        <v>4</v>
      </c>
      <c r="L1649" t="s">
        <v>18</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1734</v>
      </c>
      <c r="B1650" t="s">
        <v>156</v>
      </c>
      <c r="C1650">
        <v>1</v>
      </c>
      <c r="D1650">
        <v>36</v>
      </c>
      <c r="E1650">
        <v>36</v>
      </c>
      <c r="F1650" s="1">
        <v>45719</v>
      </c>
      <c r="G1650" s="1">
        <v>45720</v>
      </c>
      <c r="H1650" t="s">
        <v>12</v>
      </c>
      <c r="I1650" t="s">
        <v>3</v>
      </c>
      <c r="J1650">
        <v>3</v>
      </c>
      <c r="K1650" t="s">
        <v>4</v>
      </c>
      <c r="L1650" t="s">
        <v>18</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1735</v>
      </c>
      <c r="B1651" t="s">
        <v>29</v>
      </c>
      <c r="C1651">
        <v>2</v>
      </c>
      <c r="D1651">
        <v>37.1</v>
      </c>
      <c r="E1651">
        <v>74.2</v>
      </c>
      <c r="F1651" s="1">
        <v>45719</v>
      </c>
      <c r="G1651" s="1">
        <v>45722</v>
      </c>
      <c r="H1651" t="s">
        <v>12</v>
      </c>
      <c r="I1651" t="s">
        <v>25</v>
      </c>
      <c r="J1651">
        <v>4</v>
      </c>
      <c r="K1651" t="s">
        <v>4</v>
      </c>
      <c r="L1651" t="s">
        <v>18</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1736</v>
      </c>
      <c r="B1652" t="s">
        <v>131</v>
      </c>
      <c r="C1652">
        <v>3</v>
      </c>
      <c r="D1652">
        <v>45.1</v>
      </c>
      <c r="E1652">
        <v>135.30000000000001</v>
      </c>
      <c r="F1652" s="1">
        <v>45719</v>
      </c>
      <c r="G1652" s="1">
        <v>45721</v>
      </c>
      <c r="H1652" t="s">
        <v>12</v>
      </c>
      <c r="I1652" t="s">
        <v>20</v>
      </c>
      <c r="J1652">
        <v>5</v>
      </c>
      <c r="K1652" t="s">
        <v>4</v>
      </c>
      <c r="L1652" t="s">
        <v>18</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1737</v>
      </c>
      <c r="B1653" t="s">
        <v>22</v>
      </c>
      <c r="C1653">
        <v>16</v>
      </c>
      <c r="D1653">
        <v>37.9</v>
      </c>
      <c r="E1653">
        <v>606.4</v>
      </c>
      <c r="F1653" s="1">
        <v>45719</v>
      </c>
      <c r="G1653" s="1">
        <v>45720</v>
      </c>
      <c r="H1653" t="s">
        <v>12</v>
      </c>
      <c r="I1653" t="s">
        <v>36</v>
      </c>
      <c r="J1653">
        <v>5</v>
      </c>
      <c r="K1653" t="s">
        <v>4</v>
      </c>
      <c r="L1653" t="s">
        <v>18</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1738</v>
      </c>
      <c r="B1654" t="s">
        <v>11</v>
      </c>
      <c r="C1654">
        <v>2</v>
      </c>
      <c r="D1654">
        <v>121.6</v>
      </c>
      <c r="E1654">
        <v>243.2</v>
      </c>
      <c r="F1654" s="1">
        <v>45719</v>
      </c>
      <c r="G1654" s="1">
        <v>45722</v>
      </c>
      <c r="H1654" t="s">
        <v>8</v>
      </c>
      <c r="I1654" t="s">
        <v>36</v>
      </c>
      <c r="J1654">
        <v>5</v>
      </c>
      <c r="K1654" t="s">
        <v>4</v>
      </c>
      <c r="L1654" t="s">
        <v>18</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1739</v>
      </c>
      <c r="B1655" t="s">
        <v>22</v>
      </c>
      <c r="C1655">
        <v>7</v>
      </c>
      <c r="D1655">
        <v>38.200000000000003</v>
      </c>
      <c r="E1655">
        <v>267.40000000000003</v>
      </c>
      <c r="F1655" s="1">
        <v>45719</v>
      </c>
      <c r="G1655" s="1">
        <v>45722</v>
      </c>
      <c r="H1655" t="s">
        <v>12</v>
      </c>
      <c r="I1655" t="s">
        <v>3</v>
      </c>
      <c r="J1655">
        <v>4</v>
      </c>
      <c r="K1655" t="s">
        <v>4</v>
      </c>
      <c r="L1655" t="s">
        <v>18</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1740</v>
      </c>
      <c r="B1656" t="s">
        <v>120</v>
      </c>
      <c r="C1656">
        <v>2</v>
      </c>
      <c r="D1656">
        <v>37.200000000000003</v>
      </c>
      <c r="E1656">
        <v>74.400000000000006</v>
      </c>
      <c r="F1656" s="1">
        <v>45719</v>
      </c>
      <c r="G1656" s="1">
        <v>45722</v>
      </c>
      <c r="H1656" t="s">
        <v>8</v>
      </c>
      <c r="I1656" t="s">
        <v>55</v>
      </c>
      <c r="J1656">
        <v>4</v>
      </c>
      <c r="K1656" t="s">
        <v>4</v>
      </c>
      <c r="L1656" t="s">
        <v>18</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1741</v>
      </c>
      <c r="B1657" t="s">
        <v>11</v>
      </c>
      <c r="C1657">
        <v>4</v>
      </c>
      <c r="D1657">
        <v>115.7</v>
      </c>
      <c r="E1657">
        <v>462.8</v>
      </c>
      <c r="F1657" s="1">
        <v>45719</v>
      </c>
      <c r="G1657" s="1">
        <v>45722</v>
      </c>
      <c r="H1657" t="s">
        <v>12</v>
      </c>
      <c r="I1657" t="s">
        <v>20</v>
      </c>
      <c r="J1657">
        <v>4</v>
      </c>
      <c r="K1657" t="s">
        <v>4</v>
      </c>
      <c r="L1657" t="s">
        <v>18</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1742</v>
      </c>
      <c r="B1658" t="s">
        <v>11</v>
      </c>
      <c r="C1658">
        <v>6</v>
      </c>
      <c r="D1658">
        <v>99.4</v>
      </c>
      <c r="E1658">
        <v>596.40000000000009</v>
      </c>
      <c r="F1658" s="1">
        <v>45719</v>
      </c>
      <c r="G1658" s="1">
        <v>45722</v>
      </c>
      <c r="H1658" t="s">
        <v>8</v>
      </c>
      <c r="I1658" t="s">
        <v>3</v>
      </c>
      <c r="J1658">
        <v>5</v>
      </c>
      <c r="K1658" t="s">
        <v>4</v>
      </c>
      <c r="L1658" t="s">
        <v>18</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1743</v>
      </c>
      <c r="B1659" t="s">
        <v>52</v>
      </c>
      <c r="C1659">
        <v>1</v>
      </c>
      <c r="D1659">
        <v>38.700000000000003</v>
      </c>
      <c r="E1659">
        <v>38.700000000000003</v>
      </c>
      <c r="F1659" s="1">
        <v>45719</v>
      </c>
      <c r="G1659" s="1">
        <v>45720</v>
      </c>
      <c r="H1659" t="s">
        <v>12</v>
      </c>
      <c r="I1659" t="s">
        <v>25</v>
      </c>
      <c r="J1659">
        <v>4</v>
      </c>
      <c r="K1659" t="s">
        <v>4</v>
      </c>
      <c r="L1659" t="s">
        <v>173</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1744</v>
      </c>
      <c r="B1660" t="s">
        <v>17</v>
      </c>
      <c r="C1660">
        <v>2</v>
      </c>
      <c r="D1660">
        <v>35.5</v>
      </c>
      <c r="E1660">
        <v>71</v>
      </c>
      <c r="F1660" s="1">
        <v>45719</v>
      </c>
      <c r="G1660" s="1">
        <v>45722</v>
      </c>
      <c r="H1660" t="s">
        <v>8</v>
      </c>
      <c r="I1660" t="s">
        <v>3</v>
      </c>
      <c r="J1660">
        <v>5</v>
      </c>
      <c r="K1660" t="s">
        <v>4</v>
      </c>
      <c r="L1660" t="s">
        <v>173</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1745</v>
      </c>
      <c r="B1661" t="s">
        <v>11</v>
      </c>
      <c r="C1661">
        <v>4</v>
      </c>
      <c r="D1661">
        <v>93.3</v>
      </c>
      <c r="E1661">
        <v>373.2</v>
      </c>
      <c r="F1661" s="1">
        <v>45719</v>
      </c>
      <c r="G1661" s="1">
        <v>45722</v>
      </c>
      <c r="H1661" t="s">
        <v>12</v>
      </c>
      <c r="I1661" t="s">
        <v>3</v>
      </c>
      <c r="J1661">
        <v>5</v>
      </c>
      <c r="K1661" t="s">
        <v>4</v>
      </c>
      <c r="L1661" t="s">
        <v>40</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1746</v>
      </c>
      <c r="B1662" t="s">
        <v>113</v>
      </c>
      <c r="C1662">
        <v>1</v>
      </c>
      <c r="D1662">
        <v>31.4</v>
      </c>
      <c r="E1662">
        <v>31.4</v>
      </c>
      <c r="F1662" s="1">
        <v>45719</v>
      </c>
      <c r="G1662" s="1">
        <v>45724</v>
      </c>
      <c r="H1662" t="s">
        <v>12</v>
      </c>
      <c r="I1662" t="s">
        <v>25</v>
      </c>
      <c r="J1662">
        <v>5</v>
      </c>
      <c r="K1662" t="s">
        <v>4</v>
      </c>
      <c r="L1662" t="s">
        <v>40</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1747</v>
      </c>
      <c r="B1663" t="s">
        <v>7</v>
      </c>
      <c r="C1663">
        <v>1</v>
      </c>
      <c r="D1663">
        <v>85.9</v>
      </c>
      <c r="E1663">
        <v>85.9</v>
      </c>
      <c r="F1663" s="1">
        <v>45719</v>
      </c>
      <c r="G1663" s="1">
        <v>45722</v>
      </c>
      <c r="H1663" t="s">
        <v>8</v>
      </c>
      <c r="I1663" t="s">
        <v>20</v>
      </c>
      <c r="J1663">
        <v>4</v>
      </c>
      <c r="K1663" t="s">
        <v>4</v>
      </c>
      <c r="L1663" t="s">
        <v>40</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1748</v>
      </c>
      <c r="B1664" t="s">
        <v>24</v>
      </c>
      <c r="C1664">
        <v>8</v>
      </c>
      <c r="D1664">
        <v>41.7</v>
      </c>
      <c r="E1664">
        <v>333.6</v>
      </c>
      <c r="F1664" s="1">
        <v>45719</v>
      </c>
      <c r="G1664" s="1">
        <v>45727</v>
      </c>
      <c r="H1664" t="s">
        <v>8</v>
      </c>
      <c r="I1664" t="s">
        <v>3</v>
      </c>
      <c r="J1664">
        <v>5</v>
      </c>
      <c r="K1664" t="s">
        <v>4</v>
      </c>
      <c r="L1664" t="s">
        <v>44</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1749</v>
      </c>
      <c r="B1665" t="s">
        <v>29</v>
      </c>
      <c r="C1665">
        <v>4</v>
      </c>
      <c r="D1665">
        <v>31.5</v>
      </c>
      <c r="E1665">
        <v>126</v>
      </c>
      <c r="F1665" s="1">
        <v>45719</v>
      </c>
      <c r="G1665" s="1">
        <v>45720</v>
      </c>
      <c r="H1665" t="s">
        <v>12</v>
      </c>
      <c r="I1665" t="s">
        <v>3</v>
      </c>
      <c r="J1665">
        <v>4</v>
      </c>
      <c r="K1665" t="s">
        <v>4</v>
      </c>
      <c r="L1665" t="s">
        <v>44</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1750</v>
      </c>
      <c r="B1666" t="s">
        <v>29</v>
      </c>
      <c r="C1666">
        <v>2</v>
      </c>
      <c r="D1666">
        <v>36.299999999999997</v>
      </c>
      <c r="E1666">
        <v>72.599999999999994</v>
      </c>
      <c r="F1666" s="1">
        <v>45719</v>
      </c>
      <c r="G1666" s="1">
        <v>45720</v>
      </c>
      <c r="H1666" t="s">
        <v>12</v>
      </c>
      <c r="I1666" t="s">
        <v>3</v>
      </c>
      <c r="J1666">
        <v>2</v>
      </c>
      <c r="K1666" t="s">
        <v>4</v>
      </c>
      <c r="L1666" t="s">
        <v>47</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1751</v>
      </c>
      <c r="B1667" t="s">
        <v>29</v>
      </c>
      <c r="C1667">
        <v>3</v>
      </c>
      <c r="D1667">
        <v>33.4</v>
      </c>
      <c r="E1667">
        <v>100.19999999999999</v>
      </c>
      <c r="F1667" s="1">
        <v>45719</v>
      </c>
      <c r="G1667" s="1">
        <v>45720</v>
      </c>
      <c r="H1667" t="s">
        <v>12</v>
      </c>
      <c r="I1667" t="s">
        <v>36</v>
      </c>
      <c r="J1667">
        <v>4</v>
      </c>
      <c r="K1667" t="s">
        <v>4</v>
      </c>
      <c r="L1667" t="s">
        <v>88</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1752</v>
      </c>
      <c r="B1668" t="s">
        <v>11</v>
      </c>
      <c r="C1668">
        <v>3</v>
      </c>
      <c r="D1668">
        <v>65.2</v>
      </c>
      <c r="E1668">
        <v>195.60000000000002</v>
      </c>
      <c r="F1668" s="1">
        <v>45719</v>
      </c>
      <c r="G1668" s="1">
        <v>45720</v>
      </c>
      <c r="H1668" t="s">
        <v>12</v>
      </c>
      <c r="I1668" t="s">
        <v>25</v>
      </c>
      <c r="J1668">
        <v>5</v>
      </c>
      <c r="K1668" t="s">
        <v>4</v>
      </c>
      <c r="L1668" t="s">
        <v>186</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1753</v>
      </c>
      <c r="B1669" t="s">
        <v>29</v>
      </c>
      <c r="C1669">
        <v>9</v>
      </c>
      <c r="D1669">
        <v>65.5</v>
      </c>
      <c r="E1669">
        <v>589.5</v>
      </c>
      <c r="F1669" s="1">
        <v>45719</v>
      </c>
      <c r="G1669" s="1">
        <v>45722</v>
      </c>
      <c r="H1669" t="s">
        <v>12</v>
      </c>
      <c r="I1669" t="s">
        <v>3</v>
      </c>
      <c r="J1669">
        <v>5</v>
      </c>
      <c r="K1669" t="s">
        <v>4</v>
      </c>
      <c r="L1669" t="s">
        <v>57</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1754</v>
      </c>
      <c r="B1670" t="s">
        <v>24</v>
      </c>
      <c r="C1670">
        <v>3</v>
      </c>
      <c r="D1670">
        <v>52.8</v>
      </c>
      <c r="E1670">
        <v>158.39999999999998</v>
      </c>
      <c r="F1670" s="1">
        <v>45719</v>
      </c>
      <c r="G1670" s="1">
        <v>45722</v>
      </c>
      <c r="H1670" t="s">
        <v>8</v>
      </c>
      <c r="I1670" t="s">
        <v>25</v>
      </c>
      <c r="J1670">
        <v>4</v>
      </c>
      <c r="K1670" t="s">
        <v>4</v>
      </c>
      <c r="L1670" t="s">
        <v>57</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1755</v>
      </c>
      <c r="B1671" t="s">
        <v>31</v>
      </c>
      <c r="C1671">
        <v>5</v>
      </c>
      <c r="D1671">
        <v>24</v>
      </c>
      <c r="E1671">
        <v>120</v>
      </c>
      <c r="F1671" s="1">
        <v>45719</v>
      </c>
      <c r="G1671" s="1">
        <v>45723</v>
      </c>
      <c r="H1671" t="s">
        <v>8</v>
      </c>
      <c r="I1671" t="s">
        <v>3</v>
      </c>
      <c r="J1671">
        <v>3</v>
      </c>
      <c r="K1671" t="s">
        <v>4</v>
      </c>
      <c r="L1671" t="s">
        <v>62</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1756</v>
      </c>
      <c r="B1672" t="s">
        <v>15</v>
      </c>
      <c r="C1672">
        <v>3</v>
      </c>
      <c r="D1672">
        <v>51.2</v>
      </c>
      <c r="E1672">
        <v>153.60000000000002</v>
      </c>
      <c r="F1672" s="1">
        <v>45719</v>
      </c>
      <c r="G1672" s="1">
        <v>45720</v>
      </c>
      <c r="H1672" t="s">
        <v>12</v>
      </c>
      <c r="I1672" t="s">
        <v>3</v>
      </c>
      <c r="J1672">
        <v>4</v>
      </c>
      <c r="K1672" t="s">
        <v>4</v>
      </c>
      <c r="L1672" t="s">
        <v>294</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1757</v>
      </c>
      <c r="B1673" t="s">
        <v>22</v>
      </c>
      <c r="C1673">
        <v>3</v>
      </c>
      <c r="D1673">
        <v>28.3</v>
      </c>
      <c r="E1673">
        <v>84.9</v>
      </c>
      <c r="F1673" s="1">
        <v>45719</v>
      </c>
      <c r="G1673" s="1">
        <v>45721</v>
      </c>
      <c r="H1673" t="s">
        <v>8</v>
      </c>
      <c r="I1673" t="s">
        <v>55</v>
      </c>
      <c r="J1673">
        <v>4</v>
      </c>
      <c r="K1673" t="s">
        <v>4</v>
      </c>
      <c r="L1673" t="s">
        <v>95</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1758</v>
      </c>
      <c r="B1674" t="s">
        <v>24</v>
      </c>
      <c r="C1674">
        <v>3</v>
      </c>
      <c r="D1674">
        <v>42.3</v>
      </c>
      <c r="E1674">
        <v>126.89999999999999</v>
      </c>
      <c r="F1674" s="1">
        <v>45719</v>
      </c>
      <c r="G1674" s="1">
        <v>45719</v>
      </c>
      <c r="H1674" t="s">
        <v>12</v>
      </c>
      <c r="I1674" t="s">
        <v>25</v>
      </c>
      <c r="J1674">
        <v>3</v>
      </c>
      <c r="K1674" t="s">
        <v>4</v>
      </c>
      <c r="L1674" t="s">
        <v>95</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1759</v>
      </c>
      <c r="B1675" t="s">
        <v>11</v>
      </c>
      <c r="C1675">
        <v>8</v>
      </c>
      <c r="D1675">
        <v>163.30000000000001</v>
      </c>
      <c r="E1675">
        <v>1306.4000000000001</v>
      </c>
      <c r="F1675" s="1">
        <v>45720</v>
      </c>
      <c r="G1675" s="1">
        <v>45721</v>
      </c>
      <c r="H1675" t="s">
        <v>12</v>
      </c>
      <c r="I1675" t="s">
        <v>20</v>
      </c>
      <c r="J1675">
        <v>4</v>
      </c>
      <c r="K1675" t="s">
        <v>4</v>
      </c>
      <c r="L1675" t="s">
        <v>67</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1760</v>
      </c>
      <c r="B1676" t="s">
        <v>24</v>
      </c>
      <c r="C1676">
        <v>7</v>
      </c>
      <c r="D1676">
        <v>47.3</v>
      </c>
      <c r="E1676">
        <v>331.09999999999997</v>
      </c>
      <c r="F1676" s="1">
        <v>45720</v>
      </c>
      <c r="G1676" s="1">
        <v>45723</v>
      </c>
      <c r="H1676" t="s">
        <v>12</v>
      </c>
      <c r="I1676" t="s">
        <v>55</v>
      </c>
      <c r="J1676">
        <v>3</v>
      </c>
      <c r="K1676" t="s">
        <v>4</v>
      </c>
      <c r="L1676" t="s">
        <v>100</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1761</v>
      </c>
      <c r="B1677" t="s">
        <v>29</v>
      </c>
      <c r="C1677">
        <v>16</v>
      </c>
      <c r="D1677">
        <v>27.3</v>
      </c>
      <c r="E1677">
        <v>436.8</v>
      </c>
      <c r="F1677" s="1">
        <v>45720</v>
      </c>
      <c r="G1677" s="1">
        <v>45721</v>
      </c>
      <c r="H1677" t="s">
        <v>12</v>
      </c>
      <c r="I1677" t="s">
        <v>25</v>
      </c>
      <c r="J1677">
        <v>4</v>
      </c>
      <c r="K1677" t="s">
        <v>4</v>
      </c>
      <c r="L1677" t="s">
        <v>100</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1762</v>
      </c>
      <c r="B1678" t="s">
        <v>39</v>
      </c>
      <c r="C1678">
        <v>6</v>
      </c>
      <c r="D1678">
        <v>34.9</v>
      </c>
      <c r="E1678">
        <v>209.39999999999998</v>
      </c>
      <c r="F1678" s="1">
        <v>45720</v>
      </c>
      <c r="G1678" s="1">
        <v>45731</v>
      </c>
      <c r="H1678" t="s">
        <v>12</v>
      </c>
      <c r="I1678" t="s">
        <v>3</v>
      </c>
      <c r="J1678">
        <v>4</v>
      </c>
      <c r="K1678" t="s">
        <v>4</v>
      </c>
      <c r="L1678" t="s">
        <v>100</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1763</v>
      </c>
      <c r="B1679" t="s">
        <v>24</v>
      </c>
      <c r="C1679">
        <v>2</v>
      </c>
      <c r="D1679">
        <v>53.9</v>
      </c>
      <c r="E1679">
        <v>107.8</v>
      </c>
      <c r="F1679" s="1">
        <v>45720</v>
      </c>
      <c r="G1679" s="1">
        <v>45723</v>
      </c>
      <c r="H1679" t="s">
        <v>74</v>
      </c>
      <c r="I1679" t="s">
        <v>3</v>
      </c>
      <c r="J1679">
        <v>2</v>
      </c>
      <c r="K1679" t="s">
        <v>4</v>
      </c>
      <c r="L1679" t="s">
        <v>9</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1764</v>
      </c>
      <c r="B1680" t="s">
        <v>11</v>
      </c>
      <c r="C1680">
        <v>2</v>
      </c>
      <c r="D1680">
        <v>87.2</v>
      </c>
      <c r="E1680">
        <v>174.4</v>
      </c>
      <c r="F1680" s="1">
        <v>45720</v>
      </c>
      <c r="G1680" s="1">
        <v>45721</v>
      </c>
      <c r="H1680" t="s">
        <v>12</v>
      </c>
      <c r="I1680" t="s">
        <v>3</v>
      </c>
      <c r="J1680">
        <v>3</v>
      </c>
      <c r="K1680" t="s">
        <v>4</v>
      </c>
      <c r="L1680" t="s">
        <v>9</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1765</v>
      </c>
      <c r="B1681" t="s">
        <v>108</v>
      </c>
      <c r="C1681">
        <v>1</v>
      </c>
      <c r="D1681">
        <v>58.8</v>
      </c>
      <c r="E1681">
        <v>58.8</v>
      </c>
      <c r="F1681" s="1">
        <v>45720</v>
      </c>
      <c r="G1681" s="1">
        <v>45722</v>
      </c>
      <c r="H1681" t="s">
        <v>12</v>
      </c>
      <c r="I1681" t="s">
        <v>25</v>
      </c>
      <c r="J1681">
        <v>4</v>
      </c>
      <c r="K1681" t="s">
        <v>4</v>
      </c>
      <c r="L1681" t="s">
        <v>572</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1766</v>
      </c>
      <c r="B1682" t="s">
        <v>11</v>
      </c>
      <c r="C1682">
        <v>7</v>
      </c>
      <c r="D1682">
        <v>125.5</v>
      </c>
      <c r="E1682">
        <v>878.5</v>
      </c>
      <c r="F1682" s="1">
        <v>45720</v>
      </c>
      <c r="G1682" s="1">
        <v>45721</v>
      </c>
      <c r="H1682" t="s">
        <v>8</v>
      </c>
      <c r="I1682" t="s">
        <v>25</v>
      </c>
      <c r="J1682">
        <v>2</v>
      </c>
      <c r="K1682" t="s">
        <v>4</v>
      </c>
      <c r="L1682" t="s">
        <v>132</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1767</v>
      </c>
      <c r="B1683" t="s">
        <v>7</v>
      </c>
      <c r="C1683">
        <v>4</v>
      </c>
      <c r="D1683">
        <v>124.6</v>
      </c>
      <c r="E1683">
        <v>498.4</v>
      </c>
      <c r="F1683" s="1">
        <v>45720</v>
      </c>
      <c r="G1683" s="1">
        <v>45722</v>
      </c>
      <c r="H1683" t="s">
        <v>12</v>
      </c>
      <c r="I1683" t="s">
        <v>3</v>
      </c>
      <c r="J1683">
        <v>3</v>
      </c>
      <c r="K1683" t="s">
        <v>4</v>
      </c>
      <c r="L1683" t="s">
        <v>132</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1768</v>
      </c>
      <c r="B1684" t="s">
        <v>7</v>
      </c>
      <c r="C1684">
        <v>7</v>
      </c>
      <c r="D1684">
        <v>39.9</v>
      </c>
      <c r="E1684">
        <v>279.3</v>
      </c>
      <c r="F1684" s="1">
        <v>45720</v>
      </c>
      <c r="G1684" s="1">
        <v>45721</v>
      </c>
      <c r="H1684" t="s">
        <v>8</v>
      </c>
      <c r="I1684" t="s">
        <v>25</v>
      </c>
      <c r="J1684">
        <v>3</v>
      </c>
      <c r="K1684" t="s">
        <v>4</v>
      </c>
      <c r="L1684" t="s">
        <v>18</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1769</v>
      </c>
      <c r="B1685" t="s">
        <v>24</v>
      </c>
      <c r="C1685">
        <v>1</v>
      </c>
      <c r="D1685">
        <v>94.6</v>
      </c>
      <c r="E1685">
        <v>94.6</v>
      </c>
      <c r="F1685" s="1">
        <v>45720</v>
      </c>
      <c r="G1685" s="1">
        <v>45734</v>
      </c>
      <c r="H1685" t="s">
        <v>12</v>
      </c>
      <c r="I1685" t="s">
        <v>3</v>
      </c>
      <c r="J1685">
        <v>3</v>
      </c>
      <c r="K1685" t="s">
        <v>4</v>
      </c>
      <c r="L1685" t="s">
        <v>18</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1770</v>
      </c>
      <c r="B1686" t="s">
        <v>11</v>
      </c>
      <c r="C1686">
        <v>2</v>
      </c>
      <c r="D1686">
        <v>149.6</v>
      </c>
      <c r="E1686">
        <v>299.2</v>
      </c>
      <c r="F1686" s="1">
        <v>45720</v>
      </c>
      <c r="G1686" s="1">
        <v>45721</v>
      </c>
      <c r="H1686" t="s">
        <v>12</v>
      </c>
      <c r="I1686" t="s">
        <v>3</v>
      </c>
      <c r="J1686">
        <v>4</v>
      </c>
      <c r="K1686" t="s">
        <v>4</v>
      </c>
      <c r="L1686" t="s">
        <v>18</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1771</v>
      </c>
      <c r="B1687" t="s">
        <v>29</v>
      </c>
      <c r="C1687">
        <v>1</v>
      </c>
      <c r="D1687">
        <v>52.2</v>
      </c>
      <c r="E1687">
        <v>52.2</v>
      </c>
      <c r="F1687" s="1">
        <v>45720</v>
      </c>
      <c r="G1687" s="1">
        <v>45721</v>
      </c>
      <c r="H1687" t="s">
        <v>2</v>
      </c>
      <c r="I1687" t="s">
        <v>20</v>
      </c>
      <c r="J1687">
        <v>4</v>
      </c>
      <c r="K1687" t="s">
        <v>4</v>
      </c>
      <c r="L1687" t="s">
        <v>18</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1772</v>
      </c>
      <c r="B1688" t="s">
        <v>24</v>
      </c>
      <c r="C1688">
        <v>2</v>
      </c>
      <c r="D1688">
        <v>96.5</v>
      </c>
      <c r="E1688">
        <v>193</v>
      </c>
      <c r="F1688" s="1">
        <v>45720</v>
      </c>
      <c r="G1688" s="1">
        <v>45721</v>
      </c>
      <c r="H1688" t="s">
        <v>12</v>
      </c>
      <c r="I1688" t="s">
        <v>20</v>
      </c>
      <c r="J1688">
        <v>3</v>
      </c>
      <c r="K1688" t="s">
        <v>4</v>
      </c>
      <c r="L1688" t="s">
        <v>18</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1773</v>
      </c>
      <c r="B1689" t="s">
        <v>29</v>
      </c>
      <c r="C1689">
        <v>2</v>
      </c>
      <c r="D1689">
        <v>79.8</v>
      </c>
      <c r="E1689">
        <v>159.6</v>
      </c>
      <c r="F1689" s="1">
        <v>45720</v>
      </c>
      <c r="G1689" s="1">
        <v>45722</v>
      </c>
      <c r="H1689" t="s">
        <v>12</v>
      </c>
      <c r="I1689" t="s">
        <v>3</v>
      </c>
      <c r="J1689">
        <v>3</v>
      </c>
      <c r="K1689" t="s">
        <v>4</v>
      </c>
      <c r="L1689" t="s">
        <v>18</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1774</v>
      </c>
      <c r="B1690" t="s">
        <v>29</v>
      </c>
      <c r="C1690">
        <v>3</v>
      </c>
      <c r="D1690">
        <v>35.6</v>
      </c>
      <c r="E1690">
        <v>106.80000000000001</v>
      </c>
      <c r="F1690" s="1">
        <v>45720</v>
      </c>
      <c r="G1690" s="1">
        <v>45721</v>
      </c>
      <c r="H1690" t="s">
        <v>12</v>
      </c>
      <c r="I1690" t="s">
        <v>25</v>
      </c>
      <c r="J1690">
        <v>4</v>
      </c>
      <c r="K1690" t="s">
        <v>4</v>
      </c>
      <c r="L1690" t="s">
        <v>18</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1775</v>
      </c>
      <c r="B1691" t="s">
        <v>113</v>
      </c>
      <c r="C1691">
        <v>1</v>
      </c>
      <c r="D1691">
        <v>50.2</v>
      </c>
      <c r="E1691">
        <v>50.2</v>
      </c>
      <c r="F1691" s="1">
        <v>45720</v>
      </c>
      <c r="G1691" s="1">
        <v>45721</v>
      </c>
      <c r="H1691" t="s">
        <v>12</v>
      </c>
      <c r="I1691" t="s">
        <v>20</v>
      </c>
      <c r="J1691">
        <v>5</v>
      </c>
      <c r="K1691" t="s">
        <v>4</v>
      </c>
      <c r="L1691" t="s">
        <v>18</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1776</v>
      </c>
      <c r="B1692" t="s">
        <v>7</v>
      </c>
      <c r="C1692">
        <v>3</v>
      </c>
      <c r="D1692">
        <v>55.3</v>
      </c>
      <c r="E1692">
        <v>165.89999999999998</v>
      </c>
      <c r="F1692" s="1">
        <v>45720</v>
      </c>
      <c r="G1692" s="1">
        <v>45723</v>
      </c>
      <c r="H1692" t="s">
        <v>12</v>
      </c>
      <c r="I1692" t="s">
        <v>3</v>
      </c>
      <c r="J1692">
        <v>2</v>
      </c>
      <c r="K1692" t="s">
        <v>4</v>
      </c>
      <c r="L1692" t="s">
        <v>401</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1777</v>
      </c>
      <c r="B1693" t="s">
        <v>24</v>
      </c>
      <c r="C1693">
        <v>7</v>
      </c>
      <c r="D1693">
        <v>104.5</v>
      </c>
      <c r="E1693">
        <v>731.5</v>
      </c>
      <c r="F1693" s="1">
        <v>45720</v>
      </c>
      <c r="G1693" s="1">
        <v>45724</v>
      </c>
      <c r="H1693" t="s">
        <v>12</v>
      </c>
      <c r="I1693" t="s">
        <v>20</v>
      </c>
      <c r="J1693">
        <v>4</v>
      </c>
      <c r="K1693" t="s">
        <v>4</v>
      </c>
      <c r="L1693" t="s">
        <v>44</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1778</v>
      </c>
      <c r="B1694" t="s">
        <v>24</v>
      </c>
      <c r="C1694">
        <v>4</v>
      </c>
      <c r="D1694">
        <v>66.5</v>
      </c>
      <c r="E1694">
        <v>266</v>
      </c>
      <c r="F1694" s="1">
        <v>45720</v>
      </c>
      <c r="G1694" s="1">
        <v>45722</v>
      </c>
      <c r="H1694" t="s">
        <v>8</v>
      </c>
      <c r="I1694" t="s">
        <v>20</v>
      </c>
      <c r="J1694">
        <v>4</v>
      </c>
      <c r="K1694" t="s">
        <v>4</v>
      </c>
      <c r="L1694" t="s">
        <v>44</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1779</v>
      </c>
      <c r="B1695" t="s">
        <v>39</v>
      </c>
      <c r="C1695">
        <v>8</v>
      </c>
      <c r="D1695">
        <v>38.299999999999997</v>
      </c>
      <c r="E1695">
        <v>306.39999999999998</v>
      </c>
      <c r="F1695" s="1">
        <v>45720</v>
      </c>
      <c r="G1695" s="1">
        <v>45721</v>
      </c>
      <c r="H1695" t="s">
        <v>12</v>
      </c>
      <c r="I1695" t="s">
        <v>3</v>
      </c>
      <c r="J1695">
        <v>4</v>
      </c>
      <c r="K1695" t="s">
        <v>4</v>
      </c>
      <c r="L1695" t="s">
        <v>44</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1780</v>
      </c>
      <c r="B1696" t="s">
        <v>24</v>
      </c>
      <c r="C1696">
        <v>3</v>
      </c>
      <c r="D1696">
        <v>63.8</v>
      </c>
      <c r="E1696">
        <v>191.39999999999998</v>
      </c>
      <c r="F1696" s="1">
        <v>45720</v>
      </c>
      <c r="G1696" s="1">
        <v>45723</v>
      </c>
      <c r="H1696" t="s">
        <v>12</v>
      </c>
      <c r="I1696" t="s">
        <v>20</v>
      </c>
      <c r="J1696">
        <v>4</v>
      </c>
      <c r="K1696" t="s">
        <v>4</v>
      </c>
      <c r="L1696" t="s">
        <v>47</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1781</v>
      </c>
      <c r="B1697" t="s">
        <v>108</v>
      </c>
      <c r="C1697">
        <v>1</v>
      </c>
      <c r="D1697">
        <v>21.4</v>
      </c>
      <c r="E1697">
        <v>21.4</v>
      </c>
      <c r="F1697" s="1">
        <v>45720</v>
      </c>
      <c r="G1697" s="1">
        <v>45720</v>
      </c>
      <c r="H1697" t="s">
        <v>8</v>
      </c>
      <c r="I1697" t="s">
        <v>55</v>
      </c>
      <c r="J1697">
        <v>4</v>
      </c>
      <c r="K1697" t="s">
        <v>4</v>
      </c>
      <c r="L1697" t="s">
        <v>47</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1782</v>
      </c>
      <c r="B1698" t="s">
        <v>29</v>
      </c>
      <c r="C1698">
        <v>4</v>
      </c>
      <c r="D1698">
        <v>44.1</v>
      </c>
      <c r="E1698">
        <v>176.4</v>
      </c>
      <c r="F1698" s="1">
        <v>45720</v>
      </c>
      <c r="G1698" s="1">
        <v>45722</v>
      </c>
      <c r="H1698" t="s">
        <v>12</v>
      </c>
      <c r="I1698" t="s">
        <v>25</v>
      </c>
      <c r="J1698">
        <v>4</v>
      </c>
      <c r="K1698" t="s">
        <v>4</v>
      </c>
      <c r="L1698" t="s">
        <v>47</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1783</v>
      </c>
      <c r="B1699" t="s">
        <v>22</v>
      </c>
      <c r="C1699">
        <v>8</v>
      </c>
      <c r="D1699">
        <v>57.6</v>
      </c>
      <c r="E1699">
        <v>460.8</v>
      </c>
      <c r="F1699" s="1">
        <v>45720</v>
      </c>
      <c r="G1699" s="1">
        <v>45722</v>
      </c>
      <c r="H1699" t="s">
        <v>8</v>
      </c>
      <c r="I1699" t="s">
        <v>20</v>
      </c>
      <c r="J1699">
        <v>5</v>
      </c>
      <c r="K1699" t="s">
        <v>4</v>
      </c>
      <c r="L1699" t="s">
        <v>47</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1784</v>
      </c>
      <c r="B1700" t="s">
        <v>31</v>
      </c>
      <c r="C1700">
        <v>2</v>
      </c>
      <c r="D1700">
        <v>20.3</v>
      </c>
      <c r="E1700">
        <v>40.6</v>
      </c>
      <c r="F1700" s="1">
        <v>45720</v>
      </c>
      <c r="G1700" s="1">
        <v>45726</v>
      </c>
      <c r="H1700" t="s">
        <v>12</v>
      </c>
      <c r="I1700" t="s">
        <v>36</v>
      </c>
      <c r="J1700">
        <v>4</v>
      </c>
      <c r="K1700" t="s">
        <v>4</v>
      </c>
      <c r="L1700" t="s">
        <v>47</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1785</v>
      </c>
      <c r="B1701" t="s">
        <v>29</v>
      </c>
      <c r="C1701">
        <v>1</v>
      </c>
      <c r="D1701">
        <v>22.9</v>
      </c>
      <c r="E1701">
        <v>22.9</v>
      </c>
      <c r="F1701" s="1">
        <v>45720</v>
      </c>
      <c r="G1701" s="1">
        <v>45722</v>
      </c>
      <c r="H1701" t="s">
        <v>12</v>
      </c>
      <c r="I1701" t="s">
        <v>25</v>
      </c>
      <c r="J1701">
        <v>5</v>
      </c>
      <c r="K1701" t="s">
        <v>4</v>
      </c>
      <c r="L1701" t="s">
        <v>47</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1786</v>
      </c>
      <c r="B1702" t="s">
        <v>24</v>
      </c>
      <c r="C1702">
        <v>4</v>
      </c>
      <c r="D1702">
        <v>105.9</v>
      </c>
      <c r="E1702">
        <v>423.6</v>
      </c>
      <c r="F1702" s="1">
        <v>45720</v>
      </c>
      <c r="G1702" s="1">
        <v>45721</v>
      </c>
      <c r="H1702" t="s">
        <v>12</v>
      </c>
      <c r="I1702" t="s">
        <v>20</v>
      </c>
      <c r="J1702">
        <v>5</v>
      </c>
      <c r="K1702" t="s">
        <v>4</v>
      </c>
      <c r="L1702" t="s">
        <v>88</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1787</v>
      </c>
      <c r="B1703" t="s">
        <v>7</v>
      </c>
      <c r="C1703">
        <v>9</v>
      </c>
      <c r="D1703">
        <v>37.4</v>
      </c>
      <c r="E1703">
        <v>336.59999999999997</v>
      </c>
      <c r="F1703" s="1">
        <v>45720</v>
      </c>
      <c r="G1703" s="1">
        <v>45724</v>
      </c>
      <c r="H1703" t="s">
        <v>8</v>
      </c>
      <c r="I1703" t="s">
        <v>20</v>
      </c>
      <c r="J1703">
        <v>4</v>
      </c>
      <c r="K1703" t="s">
        <v>4</v>
      </c>
      <c r="L1703" t="s">
        <v>62</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1788</v>
      </c>
      <c r="B1704" t="s">
        <v>131</v>
      </c>
      <c r="C1704">
        <v>2</v>
      </c>
      <c r="D1704">
        <v>79</v>
      </c>
      <c r="E1704">
        <v>158</v>
      </c>
      <c r="F1704" s="1">
        <v>45720</v>
      </c>
      <c r="G1704" s="1">
        <v>45721</v>
      </c>
      <c r="H1704" t="s">
        <v>8</v>
      </c>
      <c r="I1704" t="s">
        <v>25</v>
      </c>
      <c r="J1704">
        <v>4</v>
      </c>
      <c r="K1704" t="s">
        <v>4</v>
      </c>
      <c r="L1704" t="s">
        <v>228</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1789</v>
      </c>
      <c r="B1705" t="s">
        <v>1</v>
      </c>
      <c r="C1705">
        <v>3</v>
      </c>
      <c r="D1705">
        <v>19.3</v>
      </c>
      <c r="E1705">
        <v>57.900000000000006</v>
      </c>
      <c r="F1705" s="1">
        <v>45720</v>
      </c>
      <c r="G1705" s="1">
        <v>45721</v>
      </c>
      <c r="H1705" t="s">
        <v>12</v>
      </c>
      <c r="I1705" t="s">
        <v>55</v>
      </c>
      <c r="J1705">
        <v>4</v>
      </c>
      <c r="K1705" t="s">
        <v>4</v>
      </c>
      <c r="L1705" t="s">
        <v>100</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1790</v>
      </c>
      <c r="B1706" t="s">
        <v>1</v>
      </c>
      <c r="C1706">
        <v>1</v>
      </c>
      <c r="D1706">
        <v>24</v>
      </c>
      <c r="E1706">
        <v>24</v>
      </c>
      <c r="F1706" s="1">
        <v>45720</v>
      </c>
      <c r="G1706" s="1">
        <v>45721</v>
      </c>
      <c r="H1706" t="s">
        <v>12</v>
      </c>
      <c r="I1706" t="s">
        <v>20</v>
      </c>
      <c r="J1706">
        <v>4</v>
      </c>
      <c r="K1706" t="s">
        <v>4</v>
      </c>
      <c r="L1706" t="s">
        <v>9</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1791</v>
      </c>
      <c r="B1707" t="s">
        <v>24</v>
      </c>
      <c r="C1707">
        <v>5</v>
      </c>
      <c r="D1707">
        <v>71.3</v>
      </c>
      <c r="E1707">
        <v>356.5</v>
      </c>
      <c r="F1707" s="1">
        <v>45720</v>
      </c>
      <c r="G1707" s="1">
        <v>45723</v>
      </c>
      <c r="H1707" t="s">
        <v>12</v>
      </c>
      <c r="I1707" t="s">
        <v>25</v>
      </c>
      <c r="J1707">
        <v>4</v>
      </c>
      <c r="K1707" t="s">
        <v>4</v>
      </c>
      <c r="L1707" t="s">
        <v>13</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1792</v>
      </c>
      <c r="B1708" t="s">
        <v>22</v>
      </c>
      <c r="C1708">
        <v>2</v>
      </c>
      <c r="D1708">
        <v>166.2</v>
      </c>
      <c r="E1708">
        <v>332.4</v>
      </c>
      <c r="F1708" s="1">
        <v>45720</v>
      </c>
      <c r="G1708" s="1">
        <v>45721</v>
      </c>
      <c r="H1708" t="s">
        <v>8</v>
      </c>
      <c r="I1708" t="s">
        <v>3</v>
      </c>
      <c r="J1708">
        <v>5</v>
      </c>
      <c r="K1708" t="s">
        <v>4</v>
      </c>
      <c r="L1708" t="s">
        <v>934</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1793</v>
      </c>
      <c r="B1709" t="s">
        <v>24</v>
      </c>
      <c r="C1709">
        <v>1</v>
      </c>
      <c r="D1709">
        <v>81</v>
      </c>
      <c r="E1709">
        <v>81</v>
      </c>
      <c r="F1709" s="1">
        <v>45720</v>
      </c>
      <c r="G1709" s="1">
        <v>45721</v>
      </c>
      <c r="H1709" t="s">
        <v>12</v>
      </c>
      <c r="I1709" t="s">
        <v>25</v>
      </c>
      <c r="J1709">
        <v>3</v>
      </c>
      <c r="K1709" t="s">
        <v>4</v>
      </c>
      <c r="L1709" t="s">
        <v>18</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1794</v>
      </c>
      <c r="B1710" t="s">
        <v>39</v>
      </c>
      <c r="C1710">
        <v>6</v>
      </c>
      <c r="D1710">
        <v>38.5</v>
      </c>
      <c r="E1710">
        <v>231</v>
      </c>
      <c r="F1710" s="1">
        <v>45720</v>
      </c>
      <c r="G1710" s="1">
        <v>45724</v>
      </c>
      <c r="H1710" t="s">
        <v>12</v>
      </c>
      <c r="I1710" t="s">
        <v>3</v>
      </c>
      <c r="J1710">
        <v>4</v>
      </c>
      <c r="K1710" t="s">
        <v>4</v>
      </c>
      <c r="L1710" t="s">
        <v>18</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1795</v>
      </c>
      <c r="B1711" t="s">
        <v>24</v>
      </c>
      <c r="C1711">
        <v>1</v>
      </c>
      <c r="D1711">
        <v>86.1</v>
      </c>
      <c r="E1711">
        <v>86.1</v>
      </c>
      <c r="F1711" s="1">
        <v>45720</v>
      </c>
      <c r="G1711" s="1">
        <v>45722</v>
      </c>
      <c r="H1711" t="s">
        <v>12</v>
      </c>
      <c r="I1711" t="s">
        <v>36</v>
      </c>
      <c r="J1711">
        <v>4</v>
      </c>
      <c r="K1711" t="s">
        <v>4</v>
      </c>
      <c r="L1711" t="s">
        <v>18</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1796</v>
      </c>
      <c r="B1712" t="s">
        <v>11</v>
      </c>
      <c r="C1712">
        <v>5</v>
      </c>
      <c r="D1712">
        <v>51</v>
      </c>
      <c r="E1712">
        <v>255</v>
      </c>
      <c r="F1712" s="1">
        <v>45720</v>
      </c>
      <c r="G1712" s="1">
        <v>45721</v>
      </c>
      <c r="H1712" t="s">
        <v>8</v>
      </c>
      <c r="I1712" t="s">
        <v>3</v>
      </c>
      <c r="J1712">
        <v>3</v>
      </c>
      <c r="K1712" t="s">
        <v>4</v>
      </c>
      <c r="L1712" t="s">
        <v>18</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1797</v>
      </c>
      <c r="B1713" t="s">
        <v>15</v>
      </c>
      <c r="C1713">
        <v>5</v>
      </c>
      <c r="D1713">
        <v>115.4</v>
      </c>
      <c r="E1713">
        <v>577</v>
      </c>
      <c r="F1713" s="1">
        <v>45720</v>
      </c>
      <c r="G1713" s="1">
        <v>45721</v>
      </c>
      <c r="H1713" t="s">
        <v>8</v>
      </c>
      <c r="I1713" t="s">
        <v>3</v>
      </c>
      <c r="J1713">
        <v>4</v>
      </c>
      <c r="K1713" t="s">
        <v>4</v>
      </c>
      <c r="L1713" t="s">
        <v>18</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1798</v>
      </c>
      <c r="B1714" t="s">
        <v>24</v>
      </c>
      <c r="C1714">
        <v>4</v>
      </c>
      <c r="D1714">
        <v>176.5</v>
      </c>
      <c r="E1714">
        <v>706</v>
      </c>
      <c r="F1714" s="1">
        <v>45720</v>
      </c>
      <c r="G1714" s="1">
        <v>45721</v>
      </c>
      <c r="H1714" t="s">
        <v>12</v>
      </c>
      <c r="I1714" t="s">
        <v>25</v>
      </c>
      <c r="J1714">
        <v>5</v>
      </c>
      <c r="K1714" t="s">
        <v>4</v>
      </c>
      <c r="L1714" t="s">
        <v>18</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1799</v>
      </c>
      <c r="B1715" t="s">
        <v>27</v>
      </c>
      <c r="C1715">
        <v>3</v>
      </c>
      <c r="D1715">
        <v>48.9</v>
      </c>
      <c r="E1715">
        <v>146.69999999999999</v>
      </c>
      <c r="F1715" s="1">
        <v>45720</v>
      </c>
      <c r="G1715" s="1">
        <v>45721</v>
      </c>
      <c r="H1715" t="s">
        <v>8</v>
      </c>
      <c r="I1715" t="s">
        <v>55</v>
      </c>
      <c r="J1715">
        <v>4</v>
      </c>
      <c r="K1715" t="s">
        <v>4</v>
      </c>
      <c r="L1715" t="s">
        <v>18</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1800</v>
      </c>
      <c r="B1716" t="s">
        <v>29</v>
      </c>
      <c r="C1716">
        <v>3</v>
      </c>
      <c r="D1716">
        <v>18.100000000000001</v>
      </c>
      <c r="E1716">
        <v>54.300000000000004</v>
      </c>
      <c r="F1716" s="1">
        <v>45720</v>
      </c>
      <c r="G1716" s="1">
        <v>45727</v>
      </c>
      <c r="H1716" t="s">
        <v>12</v>
      </c>
      <c r="I1716" t="s">
        <v>20</v>
      </c>
      <c r="J1716">
        <v>5</v>
      </c>
      <c r="K1716" t="s">
        <v>4</v>
      </c>
      <c r="L1716" t="s">
        <v>243</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1801</v>
      </c>
      <c r="B1717" t="s">
        <v>11</v>
      </c>
      <c r="C1717">
        <v>2</v>
      </c>
      <c r="D1717">
        <v>118.5</v>
      </c>
      <c r="E1717">
        <v>237</v>
      </c>
      <c r="F1717" s="1">
        <v>45720</v>
      </c>
      <c r="G1717" s="1">
        <v>45723</v>
      </c>
      <c r="H1717" t="s">
        <v>8</v>
      </c>
      <c r="I1717" t="s">
        <v>20</v>
      </c>
      <c r="J1717">
        <v>5</v>
      </c>
      <c r="K1717" t="s">
        <v>4</v>
      </c>
      <c r="L1717" t="s">
        <v>83</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1802</v>
      </c>
      <c r="B1718" t="s">
        <v>108</v>
      </c>
      <c r="C1718">
        <v>7</v>
      </c>
      <c r="D1718">
        <v>59.1</v>
      </c>
      <c r="E1718">
        <v>413.7</v>
      </c>
      <c r="F1718" s="1">
        <v>45720</v>
      </c>
      <c r="G1718" s="1">
        <v>45721</v>
      </c>
      <c r="H1718" t="s">
        <v>12</v>
      </c>
      <c r="I1718" t="s">
        <v>36</v>
      </c>
      <c r="J1718">
        <v>4</v>
      </c>
      <c r="K1718" t="s">
        <v>4</v>
      </c>
      <c r="L1718" t="s">
        <v>173</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1803</v>
      </c>
      <c r="B1719" t="s">
        <v>17</v>
      </c>
      <c r="C1719">
        <v>1</v>
      </c>
      <c r="D1719">
        <v>21.2</v>
      </c>
      <c r="E1719">
        <v>21.2</v>
      </c>
      <c r="F1719" s="1">
        <v>45720</v>
      </c>
      <c r="G1719" s="1">
        <v>45721</v>
      </c>
      <c r="H1719" t="s">
        <v>12</v>
      </c>
      <c r="I1719" t="s">
        <v>3</v>
      </c>
      <c r="J1719">
        <v>3</v>
      </c>
      <c r="K1719" t="s">
        <v>4</v>
      </c>
      <c r="L1719" t="s">
        <v>40</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1804</v>
      </c>
      <c r="B1720" t="s">
        <v>24</v>
      </c>
      <c r="C1720">
        <v>2</v>
      </c>
      <c r="D1720">
        <v>68.8</v>
      </c>
      <c r="E1720">
        <v>137.6</v>
      </c>
      <c r="F1720" s="1">
        <v>45720</v>
      </c>
      <c r="G1720" s="1">
        <v>45725</v>
      </c>
      <c r="H1720" t="s">
        <v>12</v>
      </c>
      <c r="I1720" t="s">
        <v>36</v>
      </c>
      <c r="J1720">
        <v>5</v>
      </c>
      <c r="K1720" t="s">
        <v>4</v>
      </c>
      <c r="L1720" t="s">
        <v>40</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1805</v>
      </c>
      <c r="B1721" t="s">
        <v>24</v>
      </c>
      <c r="C1721">
        <v>2</v>
      </c>
      <c r="D1721">
        <v>65.400000000000006</v>
      </c>
      <c r="E1721">
        <v>130.80000000000001</v>
      </c>
      <c r="F1721" s="1">
        <v>45720</v>
      </c>
      <c r="G1721" s="1">
        <v>45724</v>
      </c>
      <c r="H1721" t="s">
        <v>12</v>
      </c>
      <c r="I1721" t="s">
        <v>3</v>
      </c>
      <c r="J1721">
        <v>4</v>
      </c>
      <c r="K1721" t="s">
        <v>4</v>
      </c>
      <c r="L1721" t="s">
        <v>40</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1806</v>
      </c>
      <c r="B1722" t="s">
        <v>54</v>
      </c>
      <c r="C1722">
        <v>5</v>
      </c>
      <c r="D1722">
        <v>66.3</v>
      </c>
      <c r="E1722">
        <v>331.5</v>
      </c>
      <c r="F1722" s="1">
        <v>45721</v>
      </c>
      <c r="G1722" s="1">
        <v>45724</v>
      </c>
      <c r="H1722" t="s">
        <v>12</v>
      </c>
      <c r="I1722" t="s">
        <v>55</v>
      </c>
      <c r="J1722">
        <v>4</v>
      </c>
      <c r="K1722" t="s">
        <v>4</v>
      </c>
      <c r="L1722" t="s">
        <v>40</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1807</v>
      </c>
      <c r="B1723" t="s">
        <v>24</v>
      </c>
      <c r="C1723">
        <v>3</v>
      </c>
      <c r="D1723">
        <v>97.5</v>
      </c>
      <c r="E1723">
        <v>292.5</v>
      </c>
      <c r="F1723" s="1">
        <v>45721</v>
      </c>
      <c r="G1723" s="1">
        <v>45721</v>
      </c>
      <c r="H1723" t="s">
        <v>8</v>
      </c>
      <c r="I1723" t="s">
        <v>36</v>
      </c>
      <c r="J1723">
        <v>4</v>
      </c>
      <c r="K1723" t="s">
        <v>4</v>
      </c>
      <c r="L1723" t="s">
        <v>47</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1808</v>
      </c>
      <c r="B1724" t="s">
        <v>7</v>
      </c>
      <c r="C1724">
        <v>2</v>
      </c>
      <c r="D1724">
        <v>44</v>
      </c>
      <c r="E1724">
        <v>88</v>
      </c>
      <c r="F1724" s="1">
        <v>45721</v>
      </c>
      <c r="G1724" s="1">
        <v>45724</v>
      </c>
      <c r="H1724" t="s">
        <v>12</v>
      </c>
      <c r="I1724" t="s">
        <v>20</v>
      </c>
      <c r="J1724">
        <v>5</v>
      </c>
      <c r="K1724" t="s">
        <v>4</v>
      </c>
      <c r="L1724" t="s">
        <v>47</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1809</v>
      </c>
      <c r="B1725" t="s">
        <v>1</v>
      </c>
      <c r="C1725">
        <v>1</v>
      </c>
      <c r="D1725">
        <v>21.9</v>
      </c>
      <c r="E1725">
        <v>21.9</v>
      </c>
      <c r="F1725" s="1">
        <v>45721</v>
      </c>
      <c r="G1725" s="1">
        <v>45722</v>
      </c>
      <c r="H1725" t="s">
        <v>8</v>
      </c>
      <c r="I1725" t="s">
        <v>3</v>
      </c>
      <c r="J1725">
        <v>4</v>
      </c>
      <c r="K1725" t="s">
        <v>4</v>
      </c>
      <c r="L1725" t="s">
        <v>47</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1810</v>
      </c>
      <c r="B1726" t="s">
        <v>17</v>
      </c>
      <c r="C1726">
        <v>7</v>
      </c>
      <c r="D1726">
        <v>21.5</v>
      </c>
      <c r="E1726">
        <v>150.5</v>
      </c>
      <c r="F1726" s="1">
        <v>45721</v>
      </c>
      <c r="G1726" s="1">
        <v>45723</v>
      </c>
      <c r="H1726" t="s">
        <v>12</v>
      </c>
      <c r="I1726" t="s">
        <v>20</v>
      </c>
      <c r="J1726">
        <v>5</v>
      </c>
      <c r="K1726" t="s">
        <v>4</v>
      </c>
      <c r="L1726" t="s">
        <v>57</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1811</v>
      </c>
      <c r="B1727" t="s">
        <v>54</v>
      </c>
      <c r="C1727">
        <v>6</v>
      </c>
      <c r="D1727">
        <v>133</v>
      </c>
      <c r="E1727">
        <v>798</v>
      </c>
      <c r="F1727" s="1">
        <v>45721</v>
      </c>
      <c r="G1727" s="1">
        <v>45722</v>
      </c>
      <c r="H1727" t="s">
        <v>74</v>
      </c>
      <c r="I1727" t="s">
        <v>3</v>
      </c>
      <c r="J1727">
        <v>5</v>
      </c>
      <c r="K1727" t="s">
        <v>4</v>
      </c>
      <c r="L1727" t="s">
        <v>59</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1812</v>
      </c>
      <c r="B1728" t="s">
        <v>29</v>
      </c>
      <c r="C1728">
        <v>2</v>
      </c>
      <c r="D1728">
        <v>47.7</v>
      </c>
      <c r="E1728">
        <v>95.4</v>
      </c>
      <c r="F1728" s="1">
        <v>45721</v>
      </c>
      <c r="G1728" s="1">
        <v>45725</v>
      </c>
      <c r="H1728" t="s">
        <v>8</v>
      </c>
      <c r="I1728" t="s">
        <v>3</v>
      </c>
      <c r="J1728">
        <v>5</v>
      </c>
      <c r="K1728" t="s">
        <v>4</v>
      </c>
      <c r="L1728" t="s">
        <v>59</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1813</v>
      </c>
      <c r="B1729" t="s">
        <v>113</v>
      </c>
      <c r="C1729">
        <v>3</v>
      </c>
      <c r="D1729">
        <v>58.1</v>
      </c>
      <c r="E1729">
        <v>174.3</v>
      </c>
      <c r="F1729" s="1">
        <v>45721</v>
      </c>
      <c r="G1729" s="1">
        <v>45722</v>
      </c>
      <c r="H1729" t="s">
        <v>12</v>
      </c>
      <c r="I1729" t="s">
        <v>3</v>
      </c>
      <c r="J1729">
        <v>4</v>
      </c>
      <c r="K1729" t="s">
        <v>4</v>
      </c>
      <c r="L1729" t="s">
        <v>62</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1814</v>
      </c>
      <c r="B1730" t="s">
        <v>54</v>
      </c>
      <c r="C1730">
        <v>4</v>
      </c>
      <c r="D1730">
        <v>66.599999999999994</v>
      </c>
      <c r="E1730">
        <v>266.39999999999998</v>
      </c>
      <c r="F1730" s="1">
        <v>45721</v>
      </c>
      <c r="G1730" s="1">
        <v>45722</v>
      </c>
      <c r="H1730" t="s">
        <v>2</v>
      </c>
      <c r="I1730" t="s">
        <v>3</v>
      </c>
      <c r="J1730">
        <v>4</v>
      </c>
      <c r="K1730" t="s">
        <v>4</v>
      </c>
      <c r="L1730" t="s">
        <v>62</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1815</v>
      </c>
      <c r="B1731" t="s">
        <v>31</v>
      </c>
      <c r="C1731">
        <v>1</v>
      </c>
      <c r="D1731">
        <v>24.1</v>
      </c>
      <c r="E1731">
        <v>24.1</v>
      </c>
      <c r="F1731" s="1">
        <v>45721</v>
      </c>
      <c r="G1731" s="1">
        <v>45724</v>
      </c>
      <c r="H1731" t="s">
        <v>8</v>
      </c>
      <c r="I1731" t="s">
        <v>25</v>
      </c>
      <c r="J1731">
        <v>3</v>
      </c>
      <c r="K1731" t="s">
        <v>4</v>
      </c>
      <c r="L1731" t="s">
        <v>95</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1816</v>
      </c>
      <c r="B1732" t="s">
        <v>39</v>
      </c>
      <c r="C1732">
        <v>5</v>
      </c>
      <c r="D1732">
        <v>51.5</v>
      </c>
      <c r="E1732">
        <v>257.5</v>
      </c>
      <c r="F1732" s="1">
        <v>45721</v>
      </c>
      <c r="G1732" s="1">
        <v>45726</v>
      </c>
      <c r="H1732" t="s">
        <v>12</v>
      </c>
      <c r="I1732" t="s">
        <v>3</v>
      </c>
      <c r="J1732">
        <v>4</v>
      </c>
      <c r="K1732" t="s">
        <v>4</v>
      </c>
      <c r="L1732" t="s">
        <v>67</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1817</v>
      </c>
      <c r="B1733" t="s">
        <v>1</v>
      </c>
      <c r="C1733">
        <v>11</v>
      </c>
      <c r="D1733">
        <v>25.8</v>
      </c>
      <c r="E1733">
        <v>283.8</v>
      </c>
      <c r="F1733" s="1">
        <v>45721</v>
      </c>
      <c r="G1733" s="1">
        <v>45725</v>
      </c>
      <c r="H1733" t="s">
        <v>12</v>
      </c>
      <c r="I1733" t="s">
        <v>36</v>
      </c>
      <c r="J1733">
        <v>2</v>
      </c>
      <c r="K1733" t="s">
        <v>4</v>
      </c>
      <c r="L1733" t="s">
        <v>100</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1818</v>
      </c>
      <c r="B1734" t="s">
        <v>31</v>
      </c>
      <c r="C1734">
        <v>4</v>
      </c>
      <c r="D1734">
        <v>47.7</v>
      </c>
      <c r="E1734">
        <v>190.8</v>
      </c>
      <c r="F1734" s="1">
        <v>45721</v>
      </c>
      <c r="G1734" s="1">
        <v>45721</v>
      </c>
      <c r="H1734" t="s">
        <v>12</v>
      </c>
      <c r="I1734" t="s">
        <v>3</v>
      </c>
      <c r="J1734">
        <v>3</v>
      </c>
      <c r="K1734" t="s">
        <v>4</v>
      </c>
      <c r="L1734" t="s">
        <v>100</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1819</v>
      </c>
      <c r="B1735" t="s">
        <v>27</v>
      </c>
      <c r="C1735">
        <v>5</v>
      </c>
      <c r="D1735">
        <v>73.599999999999994</v>
      </c>
      <c r="E1735">
        <v>368</v>
      </c>
      <c r="F1735" s="1">
        <v>45721</v>
      </c>
      <c r="G1735" s="1">
        <v>45725</v>
      </c>
      <c r="H1735" t="s">
        <v>8</v>
      </c>
      <c r="I1735" t="s">
        <v>20</v>
      </c>
      <c r="J1735">
        <v>4</v>
      </c>
      <c r="K1735" t="s">
        <v>4</v>
      </c>
      <c r="L1735" t="s">
        <v>100</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1820</v>
      </c>
      <c r="B1736" t="s">
        <v>22</v>
      </c>
      <c r="C1736">
        <v>7</v>
      </c>
      <c r="D1736">
        <v>91.2</v>
      </c>
      <c r="E1736">
        <v>638.4</v>
      </c>
      <c r="F1736" s="1">
        <v>45721</v>
      </c>
      <c r="G1736" s="1">
        <v>45722</v>
      </c>
      <c r="H1736" t="s">
        <v>8</v>
      </c>
      <c r="I1736" t="s">
        <v>20</v>
      </c>
      <c r="J1736">
        <v>5</v>
      </c>
      <c r="K1736" t="s">
        <v>4</v>
      </c>
      <c r="L1736" t="s">
        <v>100</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1821</v>
      </c>
      <c r="B1737" t="s">
        <v>7</v>
      </c>
      <c r="C1737">
        <v>8</v>
      </c>
      <c r="D1737">
        <v>36.200000000000003</v>
      </c>
      <c r="E1737">
        <v>289.60000000000002</v>
      </c>
      <c r="F1737" s="1">
        <v>45721</v>
      </c>
      <c r="G1737" s="1">
        <v>45721</v>
      </c>
      <c r="H1737" t="s">
        <v>8</v>
      </c>
      <c r="I1737" t="s">
        <v>25</v>
      </c>
      <c r="J1737">
        <v>5</v>
      </c>
      <c r="K1737" t="s">
        <v>4</v>
      </c>
      <c r="L1737" t="s">
        <v>9</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1822</v>
      </c>
      <c r="B1738" t="s">
        <v>31</v>
      </c>
      <c r="C1738">
        <v>8</v>
      </c>
      <c r="D1738">
        <v>98</v>
      </c>
      <c r="E1738">
        <v>784</v>
      </c>
      <c r="F1738" s="1">
        <v>45721</v>
      </c>
      <c r="G1738" s="1">
        <v>45725</v>
      </c>
      <c r="H1738" t="s">
        <v>12</v>
      </c>
      <c r="I1738" t="s">
        <v>25</v>
      </c>
      <c r="J1738">
        <v>4</v>
      </c>
      <c r="K1738" t="s">
        <v>4</v>
      </c>
      <c r="L1738" t="s">
        <v>13</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1823</v>
      </c>
      <c r="B1739" t="s">
        <v>7</v>
      </c>
      <c r="C1739">
        <v>8</v>
      </c>
      <c r="D1739">
        <v>43.6</v>
      </c>
      <c r="E1739">
        <v>348.8</v>
      </c>
      <c r="F1739" s="1">
        <v>45721</v>
      </c>
      <c r="G1739" s="1">
        <v>45722</v>
      </c>
      <c r="H1739" t="s">
        <v>12</v>
      </c>
      <c r="I1739" t="s">
        <v>25</v>
      </c>
      <c r="J1739">
        <v>4</v>
      </c>
      <c r="K1739" t="s">
        <v>4</v>
      </c>
      <c r="L1739" t="s">
        <v>132</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1824</v>
      </c>
      <c r="B1740" t="s">
        <v>29</v>
      </c>
      <c r="C1740">
        <v>10</v>
      </c>
      <c r="D1740">
        <v>37.799999999999997</v>
      </c>
      <c r="E1740">
        <v>378</v>
      </c>
      <c r="F1740" s="1">
        <v>45721</v>
      </c>
      <c r="G1740" s="1">
        <v>45721</v>
      </c>
      <c r="H1740" t="s">
        <v>74</v>
      </c>
      <c r="I1740" t="s">
        <v>3</v>
      </c>
      <c r="J1740">
        <v>4</v>
      </c>
      <c r="K1740" t="s">
        <v>4</v>
      </c>
      <c r="L1740" t="s">
        <v>934</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1825</v>
      </c>
      <c r="B1741" t="s">
        <v>120</v>
      </c>
      <c r="C1741">
        <v>5</v>
      </c>
      <c r="D1741">
        <v>63.7</v>
      </c>
      <c r="E1741">
        <v>318.5</v>
      </c>
      <c r="F1741" s="1">
        <v>45721</v>
      </c>
      <c r="G1741" s="1">
        <v>45724</v>
      </c>
      <c r="H1741" t="s">
        <v>12</v>
      </c>
      <c r="I1741" t="s">
        <v>25</v>
      </c>
      <c r="J1741">
        <v>3</v>
      </c>
      <c r="K1741" t="s">
        <v>4</v>
      </c>
      <c r="L1741" t="s">
        <v>18</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1826</v>
      </c>
      <c r="B1742" t="s">
        <v>22</v>
      </c>
      <c r="C1742">
        <v>9</v>
      </c>
      <c r="D1742">
        <v>62.9</v>
      </c>
      <c r="E1742">
        <v>566.1</v>
      </c>
      <c r="F1742" s="1">
        <v>45721</v>
      </c>
      <c r="G1742" s="1">
        <v>45726</v>
      </c>
      <c r="H1742" t="s">
        <v>8</v>
      </c>
      <c r="I1742" t="s">
        <v>36</v>
      </c>
      <c r="J1742">
        <v>5</v>
      </c>
      <c r="K1742" t="s">
        <v>4</v>
      </c>
      <c r="L1742" t="s">
        <v>18</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1827</v>
      </c>
      <c r="B1743" t="s">
        <v>24</v>
      </c>
      <c r="C1743">
        <v>7</v>
      </c>
      <c r="D1743">
        <v>61.7</v>
      </c>
      <c r="E1743">
        <v>431.90000000000003</v>
      </c>
      <c r="F1743" s="1">
        <v>45721</v>
      </c>
      <c r="G1743" s="1">
        <v>45724</v>
      </c>
      <c r="H1743" t="s">
        <v>12</v>
      </c>
      <c r="I1743" t="s">
        <v>25</v>
      </c>
      <c r="J1743">
        <v>5</v>
      </c>
      <c r="K1743" t="s">
        <v>4</v>
      </c>
      <c r="L1743" t="s">
        <v>18</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1828</v>
      </c>
      <c r="B1744" t="s">
        <v>131</v>
      </c>
      <c r="C1744">
        <v>14</v>
      </c>
      <c r="D1744">
        <v>36.5</v>
      </c>
      <c r="E1744">
        <v>511</v>
      </c>
      <c r="F1744" s="1">
        <v>45721</v>
      </c>
      <c r="G1744" s="1">
        <v>45722</v>
      </c>
      <c r="H1744" t="s">
        <v>8</v>
      </c>
      <c r="I1744" t="s">
        <v>3</v>
      </c>
      <c r="J1744">
        <v>5</v>
      </c>
      <c r="K1744" t="s">
        <v>4</v>
      </c>
      <c r="L1744" t="s">
        <v>18</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1829</v>
      </c>
      <c r="B1745" t="s">
        <v>52</v>
      </c>
      <c r="C1745">
        <v>3</v>
      </c>
      <c r="D1745">
        <v>98.6</v>
      </c>
      <c r="E1745">
        <v>295.79999999999995</v>
      </c>
      <c r="F1745" s="1">
        <v>45721</v>
      </c>
      <c r="G1745" s="1">
        <v>45724</v>
      </c>
      <c r="H1745" t="s">
        <v>74</v>
      </c>
      <c r="I1745" t="s">
        <v>3</v>
      </c>
      <c r="J1745">
        <v>2</v>
      </c>
      <c r="K1745" t="s">
        <v>4</v>
      </c>
      <c r="L1745" t="s">
        <v>18</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1830</v>
      </c>
      <c r="B1746" t="s">
        <v>29</v>
      </c>
      <c r="C1746">
        <v>2</v>
      </c>
      <c r="D1746">
        <v>19.2</v>
      </c>
      <c r="E1746">
        <v>38.4</v>
      </c>
      <c r="F1746" s="1">
        <v>45721</v>
      </c>
      <c r="G1746" s="1">
        <v>45731</v>
      </c>
      <c r="H1746" t="s">
        <v>8</v>
      </c>
      <c r="I1746" t="s">
        <v>3</v>
      </c>
      <c r="J1746">
        <v>4</v>
      </c>
      <c r="K1746" t="s">
        <v>4</v>
      </c>
      <c r="L1746" t="s">
        <v>18</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1831</v>
      </c>
      <c r="B1747" t="s">
        <v>15</v>
      </c>
      <c r="C1747">
        <v>6</v>
      </c>
      <c r="D1747">
        <v>55.6</v>
      </c>
      <c r="E1747">
        <v>333.6</v>
      </c>
      <c r="F1747" s="1">
        <v>45721</v>
      </c>
      <c r="G1747" s="1">
        <v>45725</v>
      </c>
      <c r="H1747" t="s">
        <v>12</v>
      </c>
      <c r="I1747" t="s">
        <v>3</v>
      </c>
      <c r="J1747">
        <v>5</v>
      </c>
      <c r="K1747" t="s">
        <v>4</v>
      </c>
      <c r="L1747" t="s">
        <v>18</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1832</v>
      </c>
      <c r="B1748" t="s">
        <v>22</v>
      </c>
      <c r="C1748">
        <v>6</v>
      </c>
      <c r="D1748">
        <v>56.4</v>
      </c>
      <c r="E1748">
        <v>338.4</v>
      </c>
      <c r="F1748" s="1">
        <v>45721</v>
      </c>
      <c r="G1748" s="1">
        <v>45722</v>
      </c>
      <c r="H1748" t="s">
        <v>12</v>
      </c>
      <c r="I1748" t="s">
        <v>20</v>
      </c>
      <c r="J1748">
        <v>4</v>
      </c>
      <c r="K1748" t="s">
        <v>4</v>
      </c>
      <c r="L1748" t="s">
        <v>18</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1833</v>
      </c>
      <c r="B1749" t="s">
        <v>17</v>
      </c>
      <c r="C1749">
        <v>8</v>
      </c>
      <c r="D1749">
        <v>43.1</v>
      </c>
      <c r="E1749">
        <v>344.8</v>
      </c>
      <c r="F1749" s="1">
        <v>45721</v>
      </c>
      <c r="G1749" s="1">
        <v>45725</v>
      </c>
      <c r="H1749" t="s">
        <v>12</v>
      </c>
      <c r="I1749" t="s">
        <v>55</v>
      </c>
      <c r="J1749">
        <v>4</v>
      </c>
      <c r="K1749" t="s">
        <v>4</v>
      </c>
      <c r="L1749" t="s">
        <v>18</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1834</v>
      </c>
      <c r="B1750" t="s">
        <v>7</v>
      </c>
      <c r="C1750">
        <v>2</v>
      </c>
      <c r="D1750">
        <v>77.3</v>
      </c>
      <c r="E1750">
        <v>154.6</v>
      </c>
      <c r="F1750" s="1">
        <v>45721</v>
      </c>
      <c r="G1750" s="1">
        <v>45723</v>
      </c>
      <c r="H1750" t="s">
        <v>8</v>
      </c>
      <c r="I1750" t="s">
        <v>3</v>
      </c>
      <c r="J1750">
        <v>4</v>
      </c>
      <c r="K1750" t="s">
        <v>4</v>
      </c>
      <c r="L1750" t="s">
        <v>40</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1835</v>
      </c>
      <c r="B1751" t="s">
        <v>31</v>
      </c>
      <c r="C1751">
        <v>8</v>
      </c>
      <c r="D1751">
        <v>38.299999999999997</v>
      </c>
      <c r="E1751">
        <v>306.39999999999998</v>
      </c>
      <c r="F1751" s="1">
        <v>45721</v>
      </c>
      <c r="G1751" s="1">
        <v>45722</v>
      </c>
      <c r="H1751" t="s">
        <v>8</v>
      </c>
      <c r="I1751" t="s">
        <v>3</v>
      </c>
      <c r="J1751">
        <v>4</v>
      </c>
      <c r="K1751" t="s">
        <v>4</v>
      </c>
      <c r="L1751" t="s">
        <v>44</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1836</v>
      </c>
      <c r="B1752" t="s">
        <v>1</v>
      </c>
      <c r="C1752">
        <v>7</v>
      </c>
      <c r="D1752">
        <v>16.8</v>
      </c>
      <c r="E1752">
        <v>117.60000000000001</v>
      </c>
      <c r="F1752" s="1">
        <v>45721</v>
      </c>
      <c r="G1752" s="1">
        <v>45724</v>
      </c>
      <c r="H1752" t="s">
        <v>8</v>
      </c>
      <c r="I1752" t="s">
        <v>25</v>
      </c>
      <c r="J1752">
        <v>3</v>
      </c>
      <c r="K1752" t="s">
        <v>4</v>
      </c>
      <c r="L1752" t="s">
        <v>47</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1837</v>
      </c>
      <c r="B1753" t="s">
        <v>11</v>
      </c>
      <c r="C1753">
        <v>3</v>
      </c>
      <c r="D1753">
        <v>63.2</v>
      </c>
      <c r="E1753">
        <v>189.60000000000002</v>
      </c>
      <c r="F1753" s="1">
        <v>45721</v>
      </c>
      <c r="G1753" s="1">
        <v>45722</v>
      </c>
      <c r="H1753" t="s">
        <v>12</v>
      </c>
      <c r="I1753" t="s">
        <v>3</v>
      </c>
      <c r="J1753">
        <v>5</v>
      </c>
      <c r="K1753" t="s">
        <v>4</v>
      </c>
      <c r="L1753" t="s">
        <v>47</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1838</v>
      </c>
      <c r="B1754" t="s">
        <v>66</v>
      </c>
      <c r="C1754">
        <v>23</v>
      </c>
      <c r="D1754">
        <v>39.700000000000003</v>
      </c>
      <c r="E1754">
        <v>913.1</v>
      </c>
      <c r="F1754" s="1">
        <v>45721</v>
      </c>
      <c r="G1754" s="1">
        <v>45722</v>
      </c>
      <c r="H1754" t="s">
        <v>8</v>
      </c>
      <c r="I1754" t="s">
        <v>3</v>
      </c>
      <c r="J1754">
        <v>4</v>
      </c>
      <c r="K1754" t="s">
        <v>4</v>
      </c>
      <c r="L1754" t="s">
        <v>47</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1839</v>
      </c>
      <c r="B1755" t="s">
        <v>39</v>
      </c>
      <c r="C1755">
        <v>3</v>
      </c>
      <c r="D1755">
        <v>45.8</v>
      </c>
      <c r="E1755">
        <v>137.39999999999998</v>
      </c>
      <c r="F1755" s="1">
        <v>45721</v>
      </c>
      <c r="G1755" s="1">
        <v>45722</v>
      </c>
      <c r="H1755" t="s">
        <v>12</v>
      </c>
      <c r="I1755" t="s">
        <v>20</v>
      </c>
      <c r="J1755">
        <v>5</v>
      </c>
      <c r="K1755" t="s">
        <v>4</v>
      </c>
      <c r="L1755" t="s">
        <v>47</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1840</v>
      </c>
      <c r="B1756" t="s">
        <v>1</v>
      </c>
      <c r="C1756">
        <v>6</v>
      </c>
      <c r="D1756">
        <v>12.4</v>
      </c>
      <c r="E1756">
        <v>74.400000000000006</v>
      </c>
      <c r="F1756" s="1">
        <v>45721</v>
      </c>
      <c r="G1756" s="1">
        <v>45724</v>
      </c>
      <c r="H1756" t="s">
        <v>8</v>
      </c>
      <c r="I1756" t="s">
        <v>3</v>
      </c>
      <c r="J1756">
        <v>4</v>
      </c>
      <c r="K1756" t="s">
        <v>4</v>
      </c>
      <c r="L1756" t="s">
        <v>47</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1841</v>
      </c>
      <c r="B1757" t="s">
        <v>66</v>
      </c>
      <c r="C1757">
        <v>3</v>
      </c>
      <c r="D1757">
        <v>50.8</v>
      </c>
      <c r="E1757">
        <v>152.39999999999998</v>
      </c>
      <c r="F1757" s="1">
        <v>45722</v>
      </c>
      <c r="G1757" s="1">
        <v>45722</v>
      </c>
      <c r="H1757" t="s">
        <v>12</v>
      </c>
      <c r="I1757" t="s">
        <v>55</v>
      </c>
      <c r="J1757">
        <v>4</v>
      </c>
      <c r="K1757" t="s">
        <v>4</v>
      </c>
      <c r="L1757" t="s">
        <v>88</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1842</v>
      </c>
      <c r="B1758" t="s">
        <v>31</v>
      </c>
      <c r="C1758">
        <v>1</v>
      </c>
      <c r="D1758">
        <v>76</v>
      </c>
      <c r="E1758">
        <v>76</v>
      </c>
      <c r="F1758" s="1">
        <v>45722</v>
      </c>
      <c r="G1758" s="1">
        <v>45726</v>
      </c>
      <c r="H1758" t="s">
        <v>74</v>
      </c>
      <c r="I1758" t="s">
        <v>25</v>
      </c>
      <c r="J1758">
        <v>5</v>
      </c>
      <c r="K1758" t="s">
        <v>4</v>
      </c>
      <c r="L1758" t="s">
        <v>88</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1843</v>
      </c>
      <c r="B1759" t="s">
        <v>7</v>
      </c>
      <c r="C1759">
        <v>2</v>
      </c>
      <c r="D1759">
        <v>51.9</v>
      </c>
      <c r="E1759">
        <v>103.8</v>
      </c>
      <c r="F1759" s="1">
        <v>45722</v>
      </c>
      <c r="G1759" s="1">
        <v>45723</v>
      </c>
      <c r="H1759" t="s">
        <v>8</v>
      </c>
      <c r="I1759" t="s">
        <v>20</v>
      </c>
      <c r="J1759">
        <v>5</v>
      </c>
      <c r="K1759" t="s">
        <v>4</v>
      </c>
      <c r="L1759" t="s">
        <v>186</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1844</v>
      </c>
      <c r="B1760" t="s">
        <v>11</v>
      </c>
      <c r="C1760">
        <v>2</v>
      </c>
      <c r="D1760">
        <v>93.4</v>
      </c>
      <c r="E1760">
        <v>186.8</v>
      </c>
      <c r="F1760" s="1">
        <v>45722</v>
      </c>
      <c r="G1760" s="1">
        <v>45729</v>
      </c>
      <c r="H1760" t="s">
        <v>8</v>
      </c>
      <c r="I1760" t="s">
        <v>3</v>
      </c>
      <c r="J1760">
        <v>1</v>
      </c>
      <c r="K1760" t="s">
        <v>4</v>
      </c>
      <c r="L1760" t="s">
        <v>62</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1845</v>
      </c>
      <c r="B1761" t="s">
        <v>27</v>
      </c>
      <c r="C1761">
        <v>6</v>
      </c>
      <c r="D1761">
        <v>30.8</v>
      </c>
      <c r="E1761">
        <v>184.8</v>
      </c>
      <c r="F1761" s="1">
        <v>45722</v>
      </c>
      <c r="G1761" s="1">
        <v>45725</v>
      </c>
      <c r="H1761" t="s">
        <v>12</v>
      </c>
      <c r="I1761" t="s">
        <v>20</v>
      </c>
      <c r="J1761">
        <v>4</v>
      </c>
      <c r="K1761" t="s">
        <v>4</v>
      </c>
      <c r="L1761" t="s">
        <v>62</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1846</v>
      </c>
      <c r="B1762" t="s">
        <v>11</v>
      </c>
      <c r="C1762">
        <v>1</v>
      </c>
      <c r="D1762">
        <v>143.19999999999999</v>
      </c>
      <c r="E1762">
        <v>143.19999999999999</v>
      </c>
      <c r="F1762" s="1">
        <v>45722</v>
      </c>
      <c r="G1762" s="1">
        <v>45725</v>
      </c>
      <c r="H1762" t="s">
        <v>8</v>
      </c>
      <c r="I1762" t="s">
        <v>25</v>
      </c>
      <c r="J1762">
        <v>4</v>
      </c>
      <c r="K1762" t="s">
        <v>4</v>
      </c>
      <c r="L1762" t="s">
        <v>62</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1847</v>
      </c>
      <c r="B1763" t="s">
        <v>24</v>
      </c>
      <c r="C1763">
        <v>11</v>
      </c>
      <c r="D1763">
        <v>40.4</v>
      </c>
      <c r="E1763">
        <v>444.4</v>
      </c>
      <c r="F1763" s="1">
        <v>45722</v>
      </c>
      <c r="G1763" s="1">
        <v>45724</v>
      </c>
      <c r="H1763" t="s">
        <v>8</v>
      </c>
      <c r="I1763" t="s">
        <v>25</v>
      </c>
      <c r="J1763">
        <v>5</v>
      </c>
      <c r="K1763" t="s">
        <v>4</v>
      </c>
      <c r="L1763" t="s">
        <v>93</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1848</v>
      </c>
      <c r="B1764" t="s">
        <v>11</v>
      </c>
      <c r="C1764">
        <v>19</v>
      </c>
      <c r="D1764">
        <v>131.5</v>
      </c>
      <c r="E1764">
        <v>2498.5</v>
      </c>
      <c r="F1764" s="1">
        <v>45722</v>
      </c>
      <c r="G1764" s="1">
        <v>45724</v>
      </c>
      <c r="H1764" t="s">
        <v>8</v>
      </c>
      <c r="I1764" t="s">
        <v>20</v>
      </c>
      <c r="J1764">
        <v>3</v>
      </c>
      <c r="K1764" t="s">
        <v>4</v>
      </c>
      <c r="L1764" t="s">
        <v>93</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1849</v>
      </c>
      <c r="B1765" t="s">
        <v>131</v>
      </c>
      <c r="C1765">
        <v>7</v>
      </c>
      <c r="D1765">
        <v>61.6</v>
      </c>
      <c r="E1765">
        <v>431.2</v>
      </c>
      <c r="F1765" s="1">
        <v>45722</v>
      </c>
      <c r="G1765" s="1">
        <v>45723</v>
      </c>
      <c r="H1765" t="s">
        <v>8</v>
      </c>
      <c r="I1765" t="s">
        <v>25</v>
      </c>
      <c r="J1765">
        <v>4</v>
      </c>
      <c r="K1765" t="s">
        <v>4</v>
      </c>
      <c r="L1765" t="s">
        <v>100</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1850</v>
      </c>
      <c r="B1766" t="s">
        <v>31</v>
      </c>
      <c r="C1766">
        <v>5</v>
      </c>
      <c r="D1766">
        <v>32.700000000000003</v>
      </c>
      <c r="E1766">
        <v>163.5</v>
      </c>
      <c r="F1766" s="1">
        <v>45722</v>
      </c>
      <c r="G1766" s="1">
        <v>45724</v>
      </c>
      <c r="H1766" t="s">
        <v>8</v>
      </c>
      <c r="I1766" t="s">
        <v>25</v>
      </c>
      <c r="J1766">
        <v>4</v>
      </c>
      <c r="K1766" t="s">
        <v>4</v>
      </c>
      <c r="L1766" t="s">
        <v>9</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1851</v>
      </c>
      <c r="B1767" t="s">
        <v>1</v>
      </c>
      <c r="C1767">
        <v>10</v>
      </c>
      <c r="D1767">
        <v>13.7</v>
      </c>
      <c r="E1767">
        <v>137</v>
      </c>
      <c r="F1767" s="1">
        <v>45722</v>
      </c>
      <c r="G1767" s="1">
        <v>45723</v>
      </c>
      <c r="H1767" t="s">
        <v>8</v>
      </c>
      <c r="I1767" t="s">
        <v>3</v>
      </c>
      <c r="J1767">
        <v>5</v>
      </c>
      <c r="K1767" t="s">
        <v>4</v>
      </c>
      <c r="L1767" t="s">
        <v>18</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1852</v>
      </c>
      <c r="B1768" t="s">
        <v>1</v>
      </c>
      <c r="C1768">
        <v>4</v>
      </c>
      <c r="D1768">
        <v>32.1</v>
      </c>
      <c r="E1768">
        <v>128.4</v>
      </c>
      <c r="F1768" s="1">
        <v>45722</v>
      </c>
      <c r="G1768" s="1">
        <v>45723</v>
      </c>
      <c r="H1768" t="s">
        <v>8</v>
      </c>
      <c r="I1768" t="s">
        <v>55</v>
      </c>
      <c r="J1768">
        <v>3</v>
      </c>
      <c r="K1768" t="s">
        <v>4</v>
      </c>
      <c r="L1768" t="s">
        <v>18</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1853</v>
      </c>
      <c r="B1769" t="s">
        <v>66</v>
      </c>
      <c r="C1769">
        <v>8</v>
      </c>
      <c r="D1769">
        <v>12</v>
      </c>
      <c r="E1769">
        <v>96</v>
      </c>
      <c r="F1769" s="1">
        <v>45722</v>
      </c>
      <c r="G1769" s="1">
        <v>45723</v>
      </c>
      <c r="H1769" t="s">
        <v>8</v>
      </c>
      <c r="I1769" t="s">
        <v>20</v>
      </c>
      <c r="J1769">
        <v>4</v>
      </c>
      <c r="K1769" t="s">
        <v>4</v>
      </c>
      <c r="L1769" t="s">
        <v>171</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1854</v>
      </c>
      <c r="B1770" t="s">
        <v>54</v>
      </c>
      <c r="C1770">
        <v>1</v>
      </c>
      <c r="D1770">
        <v>64.3</v>
      </c>
      <c r="E1770">
        <v>64.3</v>
      </c>
      <c r="F1770" s="1">
        <v>45722</v>
      </c>
      <c r="G1770" s="1">
        <v>45724</v>
      </c>
      <c r="H1770" t="s">
        <v>12</v>
      </c>
      <c r="I1770" t="s">
        <v>25</v>
      </c>
      <c r="J1770">
        <v>5</v>
      </c>
      <c r="K1770" t="s">
        <v>4</v>
      </c>
      <c r="L1770" t="s">
        <v>40</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1855</v>
      </c>
      <c r="B1771" t="s">
        <v>7</v>
      </c>
      <c r="C1771">
        <v>3</v>
      </c>
      <c r="D1771">
        <v>58.2</v>
      </c>
      <c r="E1771">
        <v>174.60000000000002</v>
      </c>
      <c r="F1771" s="1">
        <v>45722</v>
      </c>
      <c r="G1771" s="1">
        <v>45724</v>
      </c>
      <c r="H1771" t="s">
        <v>12</v>
      </c>
      <c r="I1771" t="s">
        <v>20</v>
      </c>
      <c r="J1771">
        <v>5</v>
      </c>
      <c r="K1771" t="s">
        <v>4</v>
      </c>
      <c r="L1771" t="s">
        <v>40</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1856</v>
      </c>
      <c r="B1772" t="s">
        <v>24</v>
      </c>
      <c r="C1772">
        <v>4</v>
      </c>
      <c r="D1772">
        <v>59.2</v>
      </c>
      <c r="E1772">
        <v>236.8</v>
      </c>
      <c r="F1772" s="1">
        <v>45722</v>
      </c>
      <c r="G1772" s="1">
        <v>45722</v>
      </c>
      <c r="H1772" t="s">
        <v>8</v>
      </c>
      <c r="I1772" t="s">
        <v>20</v>
      </c>
      <c r="J1772">
        <v>5</v>
      </c>
      <c r="K1772" t="s">
        <v>4</v>
      </c>
      <c r="L1772" t="s">
        <v>40</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1857</v>
      </c>
      <c r="B1773" t="s">
        <v>39</v>
      </c>
      <c r="C1773">
        <v>11</v>
      </c>
      <c r="D1773">
        <v>35.6</v>
      </c>
      <c r="E1773">
        <v>391.6</v>
      </c>
      <c r="F1773" s="1">
        <v>45722</v>
      </c>
      <c r="G1773" s="1">
        <v>45729</v>
      </c>
      <c r="H1773" t="s">
        <v>8</v>
      </c>
      <c r="I1773" t="s">
        <v>3</v>
      </c>
      <c r="J1773">
        <v>5</v>
      </c>
      <c r="K1773" t="s">
        <v>4</v>
      </c>
      <c r="L1773" t="s">
        <v>47</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1858</v>
      </c>
      <c r="B1774" t="s">
        <v>113</v>
      </c>
      <c r="C1774">
        <v>8</v>
      </c>
      <c r="D1774">
        <v>37</v>
      </c>
      <c r="E1774">
        <v>296</v>
      </c>
      <c r="F1774" s="1">
        <v>45722</v>
      </c>
      <c r="G1774" s="1">
        <v>45726</v>
      </c>
      <c r="H1774" t="s">
        <v>12</v>
      </c>
      <c r="I1774" t="s">
        <v>25</v>
      </c>
      <c r="J1774">
        <v>3</v>
      </c>
      <c r="K1774" t="s">
        <v>4</v>
      </c>
      <c r="L1774" t="s">
        <v>47</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1859</v>
      </c>
      <c r="B1775" t="s">
        <v>7</v>
      </c>
      <c r="C1775">
        <v>13</v>
      </c>
      <c r="D1775">
        <v>80.8</v>
      </c>
      <c r="E1775">
        <v>1050.3999999999999</v>
      </c>
      <c r="F1775" s="1">
        <v>45722</v>
      </c>
      <c r="G1775" s="1">
        <v>45724</v>
      </c>
      <c r="H1775" t="s">
        <v>12</v>
      </c>
      <c r="I1775" t="s">
        <v>3</v>
      </c>
      <c r="J1775">
        <v>4</v>
      </c>
      <c r="K1775" t="s">
        <v>4</v>
      </c>
      <c r="L1775" t="s">
        <v>47</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1860</v>
      </c>
      <c r="B1776" t="s">
        <v>29</v>
      </c>
      <c r="C1776">
        <v>2</v>
      </c>
      <c r="D1776">
        <v>63.2</v>
      </c>
      <c r="E1776">
        <v>126.4</v>
      </c>
      <c r="F1776" s="1">
        <v>45722</v>
      </c>
      <c r="G1776" s="1">
        <v>45723</v>
      </c>
      <c r="H1776" t="s">
        <v>8</v>
      </c>
      <c r="I1776" t="s">
        <v>3</v>
      </c>
      <c r="J1776">
        <v>3</v>
      </c>
      <c r="K1776" t="s">
        <v>4</v>
      </c>
      <c r="L1776" t="s">
        <v>47</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1861</v>
      </c>
      <c r="B1777" t="s">
        <v>15</v>
      </c>
      <c r="C1777">
        <v>2</v>
      </c>
      <c r="D1777">
        <v>40.799999999999997</v>
      </c>
      <c r="E1777">
        <v>81.599999999999994</v>
      </c>
      <c r="F1777" s="1">
        <v>45722</v>
      </c>
      <c r="G1777" s="1">
        <v>45724</v>
      </c>
      <c r="H1777" t="s">
        <v>8</v>
      </c>
      <c r="I1777" t="s">
        <v>3</v>
      </c>
      <c r="J1777">
        <v>3</v>
      </c>
      <c r="K1777" t="s">
        <v>4</v>
      </c>
      <c r="L1777" t="s">
        <v>88</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1862</v>
      </c>
      <c r="B1778" t="s">
        <v>61</v>
      </c>
      <c r="C1778">
        <v>6</v>
      </c>
      <c r="D1778">
        <v>25.7</v>
      </c>
      <c r="E1778">
        <v>154.19999999999999</v>
      </c>
      <c r="F1778" s="1">
        <v>45722</v>
      </c>
      <c r="G1778" s="1">
        <v>45724</v>
      </c>
      <c r="H1778" t="s">
        <v>8</v>
      </c>
      <c r="I1778" t="s">
        <v>55</v>
      </c>
      <c r="J1778">
        <v>4</v>
      </c>
      <c r="K1778" t="s">
        <v>4</v>
      </c>
      <c r="L1778" t="s">
        <v>93</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1863</v>
      </c>
      <c r="B1779" t="s">
        <v>113</v>
      </c>
      <c r="C1779">
        <v>2</v>
      </c>
      <c r="D1779">
        <v>49.9</v>
      </c>
      <c r="E1779">
        <v>99.8</v>
      </c>
      <c r="F1779" s="1">
        <v>45722</v>
      </c>
      <c r="G1779" s="1">
        <v>45725</v>
      </c>
      <c r="H1779" t="s">
        <v>8</v>
      </c>
      <c r="I1779" t="s">
        <v>3</v>
      </c>
      <c r="J1779">
        <v>4</v>
      </c>
      <c r="K1779" t="s">
        <v>4</v>
      </c>
      <c r="L1779" t="s">
        <v>98</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1864</v>
      </c>
      <c r="B1780" t="s">
        <v>29</v>
      </c>
      <c r="C1780">
        <v>2</v>
      </c>
      <c r="D1780">
        <v>20.2</v>
      </c>
      <c r="E1780">
        <v>40.4</v>
      </c>
      <c r="F1780" s="1">
        <v>45722</v>
      </c>
      <c r="G1780" s="1">
        <v>45724</v>
      </c>
      <c r="H1780" t="s">
        <v>12</v>
      </c>
      <c r="I1780" t="s">
        <v>36</v>
      </c>
      <c r="J1780">
        <v>4</v>
      </c>
      <c r="K1780" t="s">
        <v>4</v>
      </c>
      <c r="L1780" t="s">
        <v>100</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1865</v>
      </c>
      <c r="B1781" t="s">
        <v>24</v>
      </c>
      <c r="C1781">
        <v>3</v>
      </c>
      <c r="D1781">
        <v>48.4</v>
      </c>
      <c r="E1781">
        <v>145.19999999999999</v>
      </c>
      <c r="F1781" s="1">
        <v>45722</v>
      </c>
      <c r="G1781" s="1">
        <v>45727</v>
      </c>
      <c r="H1781" t="s">
        <v>12</v>
      </c>
      <c r="I1781" t="s">
        <v>3</v>
      </c>
      <c r="J1781">
        <v>5</v>
      </c>
      <c r="K1781" t="s">
        <v>4</v>
      </c>
      <c r="L1781" t="s">
        <v>100</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1866</v>
      </c>
      <c r="B1782" t="s">
        <v>24</v>
      </c>
      <c r="C1782">
        <v>2</v>
      </c>
      <c r="D1782">
        <v>81</v>
      </c>
      <c r="E1782">
        <v>162</v>
      </c>
      <c r="F1782" s="1">
        <v>45722</v>
      </c>
      <c r="G1782" s="1">
        <v>45723</v>
      </c>
      <c r="H1782" t="s">
        <v>12</v>
      </c>
      <c r="I1782" t="s">
        <v>20</v>
      </c>
      <c r="J1782">
        <v>5</v>
      </c>
      <c r="K1782" t="s">
        <v>4</v>
      </c>
      <c r="L1782" t="s">
        <v>100</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1867</v>
      </c>
      <c r="B1783" t="s">
        <v>29</v>
      </c>
      <c r="C1783">
        <v>6</v>
      </c>
      <c r="D1783">
        <v>19.899999999999999</v>
      </c>
      <c r="E1783">
        <v>119.39999999999999</v>
      </c>
      <c r="F1783" s="1">
        <v>45722</v>
      </c>
      <c r="G1783" s="1">
        <v>45725</v>
      </c>
      <c r="H1783" t="s">
        <v>12</v>
      </c>
      <c r="I1783" t="s">
        <v>3</v>
      </c>
      <c r="J1783">
        <v>3</v>
      </c>
      <c r="K1783" t="s">
        <v>4</v>
      </c>
      <c r="L1783" t="s">
        <v>132</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1868</v>
      </c>
      <c r="B1784" t="s">
        <v>17</v>
      </c>
      <c r="C1784">
        <v>4</v>
      </c>
      <c r="D1784">
        <v>32.200000000000003</v>
      </c>
      <c r="E1784">
        <v>128.80000000000001</v>
      </c>
      <c r="F1784" s="1">
        <v>45722</v>
      </c>
      <c r="G1784" s="1">
        <v>45732</v>
      </c>
      <c r="H1784" t="s">
        <v>8</v>
      </c>
      <c r="I1784" t="s">
        <v>3</v>
      </c>
      <c r="J1784">
        <v>4</v>
      </c>
      <c r="K1784" t="s">
        <v>4</v>
      </c>
      <c r="L1784" t="s">
        <v>132</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1869</v>
      </c>
      <c r="B1785" t="s">
        <v>22</v>
      </c>
      <c r="C1785">
        <v>3</v>
      </c>
      <c r="D1785">
        <v>76.8</v>
      </c>
      <c r="E1785">
        <v>230.39999999999998</v>
      </c>
      <c r="F1785" s="1">
        <v>45722</v>
      </c>
      <c r="G1785" s="1">
        <v>45723</v>
      </c>
      <c r="H1785" t="s">
        <v>12</v>
      </c>
      <c r="I1785" t="s">
        <v>3</v>
      </c>
      <c r="J1785">
        <v>3</v>
      </c>
      <c r="K1785" t="s">
        <v>4</v>
      </c>
      <c r="L1785" t="s">
        <v>18</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1870</v>
      </c>
      <c r="B1786" t="s">
        <v>24</v>
      </c>
      <c r="C1786">
        <v>2</v>
      </c>
      <c r="D1786">
        <v>41.9</v>
      </c>
      <c r="E1786">
        <v>83.8</v>
      </c>
      <c r="F1786" s="1">
        <v>45722</v>
      </c>
      <c r="G1786" s="1">
        <v>45724</v>
      </c>
      <c r="H1786" t="s">
        <v>12</v>
      </c>
      <c r="I1786" t="s">
        <v>3</v>
      </c>
      <c r="J1786">
        <v>4</v>
      </c>
      <c r="K1786" t="s">
        <v>4</v>
      </c>
      <c r="L1786" t="s">
        <v>18</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1871</v>
      </c>
      <c r="B1787" t="s">
        <v>1</v>
      </c>
      <c r="C1787">
        <v>7</v>
      </c>
      <c r="D1787">
        <v>34</v>
      </c>
      <c r="E1787">
        <v>238</v>
      </c>
      <c r="F1787" s="1">
        <v>45722</v>
      </c>
      <c r="G1787" s="1">
        <v>45724</v>
      </c>
      <c r="H1787" t="s">
        <v>12</v>
      </c>
      <c r="I1787" t="s">
        <v>20</v>
      </c>
      <c r="J1787">
        <v>5</v>
      </c>
      <c r="K1787" t="s">
        <v>4</v>
      </c>
      <c r="L1787" t="s">
        <v>18</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1872</v>
      </c>
      <c r="B1788" t="s">
        <v>27</v>
      </c>
      <c r="C1788">
        <v>7</v>
      </c>
      <c r="D1788">
        <v>61.3</v>
      </c>
      <c r="E1788">
        <v>429.09999999999997</v>
      </c>
      <c r="F1788" s="1">
        <v>45722</v>
      </c>
      <c r="G1788" s="1">
        <v>45722</v>
      </c>
      <c r="H1788" t="s">
        <v>12</v>
      </c>
      <c r="I1788" t="s">
        <v>55</v>
      </c>
      <c r="J1788">
        <v>5</v>
      </c>
      <c r="K1788" t="s">
        <v>4</v>
      </c>
      <c r="L1788" t="s">
        <v>18</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1873</v>
      </c>
      <c r="B1789" t="s">
        <v>31</v>
      </c>
      <c r="C1789">
        <v>1</v>
      </c>
      <c r="D1789">
        <v>54.7</v>
      </c>
      <c r="E1789">
        <v>54.7</v>
      </c>
      <c r="F1789" s="1">
        <v>45723</v>
      </c>
      <c r="G1789" s="1">
        <v>45724</v>
      </c>
      <c r="H1789" t="s">
        <v>8</v>
      </c>
      <c r="I1789" t="s">
        <v>3</v>
      </c>
      <c r="J1789">
        <v>3</v>
      </c>
      <c r="K1789" t="s">
        <v>4</v>
      </c>
      <c r="L1789" t="s">
        <v>18</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1874</v>
      </c>
      <c r="B1790" t="s">
        <v>24</v>
      </c>
      <c r="C1790">
        <v>10</v>
      </c>
      <c r="D1790">
        <v>84.7</v>
      </c>
      <c r="E1790">
        <v>847</v>
      </c>
      <c r="F1790" s="1">
        <v>45723</v>
      </c>
      <c r="G1790" s="1">
        <v>45727</v>
      </c>
      <c r="H1790" t="s">
        <v>12</v>
      </c>
      <c r="I1790" t="s">
        <v>3</v>
      </c>
      <c r="J1790">
        <v>4</v>
      </c>
      <c r="K1790" t="s">
        <v>4</v>
      </c>
      <c r="L1790" t="s">
        <v>18</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1875</v>
      </c>
      <c r="B1791" t="s">
        <v>7</v>
      </c>
      <c r="C1791">
        <v>3</v>
      </c>
      <c r="D1791">
        <v>93.4</v>
      </c>
      <c r="E1791">
        <v>280.20000000000005</v>
      </c>
      <c r="F1791" s="1">
        <v>45723</v>
      </c>
      <c r="G1791" s="1">
        <v>45727</v>
      </c>
      <c r="H1791" t="s">
        <v>12</v>
      </c>
      <c r="I1791" t="s">
        <v>36</v>
      </c>
      <c r="J1791">
        <v>4</v>
      </c>
      <c r="K1791" t="s">
        <v>4</v>
      </c>
      <c r="L1791" t="s">
        <v>18</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1876</v>
      </c>
      <c r="B1792" t="s">
        <v>29</v>
      </c>
      <c r="C1792">
        <v>5</v>
      </c>
      <c r="D1792">
        <v>27</v>
      </c>
      <c r="E1792">
        <v>135</v>
      </c>
      <c r="F1792" s="1">
        <v>45723</v>
      </c>
      <c r="G1792" s="1">
        <v>45726</v>
      </c>
      <c r="H1792" t="s">
        <v>8</v>
      </c>
      <c r="I1792" t="s">
        <v>3</v>
      </c>
      <c r="J1792">
        <v>3</v>
      </c>
      <c r="K1792" t="s">
        <v>4</v>
      </c>
      <c r="L1792" t="s">
        <v>18</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1877</v>
      </c>
      <c r="B1793" t="s">
        <v>1</v>
      </c>
      <c r="C1793">
        <v>4</v>
      </c>
      <c r="D1793">
        <v>10.9</v>
      </c>
      <c r="E1793">
        <v>43.6</v>
      </c>
      <c r="F1793" s="1">
        <v>45723</v>
      </c>
      <c r="G1793" s="1">
        <v>45724</v>
      </c>
      <c r="H1793" t="s">
        <v>8</v>
      </c>
      <c r="I1793" t="s">
        <v>25</v>
      </c>
      <c r="J1793">
        <v>4</v>
      </c>
      <c r="K1793" t="s">
        <v>4</v>
      </c>
      <c r="L1793" t="s">
        <v>18</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1878</v>
      </c>
      <c r="B1794" t="s">
        <v>113</v>
      </c>
      <c r="C1794">
        <v>3</v>
      </c>
      <c r="D1794">
        <v>48</v>
      </c>
      <c r="E1794">
        <v>144</v>
      </c>
      <c r="F1794" s="1">
        <v>45723</v>
      </c>
      <c r="G1794" s="1">
        <v>45728</v>
      </c>
      <c r="H1794" t="s">
        <v>12</v>
      </c>
      <c r="I1794" t="s">
        <v>55</v>
      </c>
      <c r="J1794">
        <v>4</v>
      </c>
      <c r="K1794" t="s">
        <v>4</v>
      </c>
      <c r="L1794" t="s">
        <v>18</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1879</v>
      </c>
      <c r="B1795" t="s">
        <v>22</v>
      </c>
      <c r="C1795">
        <v>2</v>
      </c>
      <c r="D1795">
        <v>67.900000000000006</v>
      </c>
      <c r="E1795">
        <v>135.80000000000001</v>
      </c>
      <c r="F1795" s="1">
        <v>45723</v>
      </c>
      <c r="G1795" s="1">
        <v>45724</v>
      </c>
      <c r="H1795" t="s">
        <v>8</v>
      </c>
      <c r="I1795" t="s">
        <v>3</v>
      </c>
      <c r="J1795">
        <v>5</v>
      </c>
      <c r="K1795" t="s">
        <v>4</v>
      </c>
      <c r="L1795" t="s">
        <v>143</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1880</v>
      </c>
      <c r="B1796" t="s">
        <v>17</v>
      </c>
      <c r="C1796">
        <v>3</v>
      </c>
      <c r="D1796">
        <v>36</v>
      </c>
      <c r="E1796">
        <v>108</v>
      </c>
      <c r="F1796" s="1">
        <v>45723</v>
      </c>
      <c r="G1796" s="1">
        <v>45724</v>
      </c>
      <c r="H1796" t="s">
        <v>8</v>
      </c>
      <c r="I1796" t="s">
        <v>20</v>
      </c>
      <c r="J1796">
        <v>4</v>
      </c>
      <c r="K1796" t="s">
        <v>4</v>
      </c>
      <c r="L1796" t="s">
        <v>40</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1881</v>
      </c>
      <c r="B1797" t="s">
        <v>11</v>
      </c>
      <c r="C1797">
        <v>1</v>
      </c>
      <c r="D1797">
        <v>128.80000000000001</v>
      </c>
      <c r="E1797">
        <v>128.80000000000001</v>
      </c>
      <c r="F1797" s="1">
        <v>45723</v>
      </c>
      <c r="G1797" s="1">
        <v>45724</v>
      </c>
      <c r="H1797" t="s">
        <v>8</v>
      </c>
      <c r="I1797" t="s">
        <v>55</v>
      </c>
      <c r="J1797">
        <v>5</v>
      </c>
      <c r="K1797" t="s">
        <v>4</v>
      </c>
      <c r="L1797" t="s">
        <v>40</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1882</v>
      </c>
      <c r="B1798" t="s">
        <v>131</v>
      </c>
      <c r="C1798">
        <v>7</v>
      </c>
      <c r="D1798">
        <v>33.299999999999997</v>
      </c>
      <c r="E1798">
        <v>233.09999999999997</v>
      </c>
      <c r="F1798" s="1">
        <v>45723</v>
      </c>
      <c r="G1798" s="1">
        <v>45724</v>
      </c>
      <c r="H1798" t="s">
        <v>12</v>
      </c>
      <c r="I1798" t="s">
        <v>36</v>
      </c>
      <c r="J1798">
        <v>4</v>
      </c>
      <c r="K1798" t="s">
        <v>4</v>
      </c>
      <c r="L1798" t="s">
        <v>47</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1883</v>
      </c>
      <c r="B1799" t="s">
        <v>39</v>
      </c>
      <c r="C1799">
        <v>3</v>
      </c>
      <c r="D1799">
        <v>37.799999999999997</v>
      </c>
      <c r="E1799">
        <v>113.39999999999999</v>
      </c>
      <c r="F1799" s="1">
        <v>45723</v>
      </c>
      <c r="G1799" s="1">
        <v>45725</v>
      </c>
      <c r="H1799" t="s">
        <v>8</v>
      </c>
      <c r="I1799" t="s">
        <v>20</v>
      </c>
      <c r="J1799">
        <v>5</v>
      </c>
      <c r="K1799" t="s">
        <v>4</v>
      </c>
      <c r="L1799" t="s">
        <v>47</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1884</v>
      </c>
      <c r="B1800" t="s">
        <v>22</v>
      </c>
      <c r="C1800">
        <v>3</v>
      </c>
      <c r="D1800">
        <v>26</v>
      </c>
      <c r="E1800">
        <v>78</v>
      </c>
      <c r="F1800" s="1">
        <v>45723</v>
      </c>
      <c r="G1800" s="1">
        <v>45728</v>
      </c>
      <c r="H1800" t="s">
        <v>12</v>
      </c>
      <c r="I1800" t="s">
        <v>3</v>
      </c>
      <c r="J1800">
        <v>4</v>
      </c>
      <c r="K1800" t="s">
        <v>4</v>
      </c>
      <c r="L1800" t="s">
        <v>47</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1885</v>
      </c>
      <c r="B1801" t="s">
        <v>29</v>
      </c>
      <c r="C1801">
        <v>19</v>
      </c>
      <c r="D1801">
        <v>28.3</v>
      </c>
      <c r="E1801">
        <v>537.70000000000005</v>
      </c>
      <c r="F1801" s="1">
        <v>45723</v>
      </c>
      <c r="G1801" s="1">
        <v>45724</v>
      </c>
      <c r="H1801" t="s">
        <v>12</v>
      </c>
      <c r="I1801" t="s">
        <v>36</v>
      </c>
      <c r="J1801">
        <v>2</v>
      </c>
      <c r="K1801" t="s">
        <v>4</v>
      </c>
      <c r="L1801" t="s">
        <v>47</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1886</v>
      </c>
      <c r="B1802" t="s">
        <v>29</v>
      </c>
      <c r="C1802">
        <v>4</v>
      </c>
      <c r="D1802">
        <v>31.3</v>
      </c>
      <c r="E1802">
        <v>125.2</v>
      </c>
      <c r="F1802" s="1">
        <v>45723</v>
      </c>
      <c r="G1802" s="1">
        <v>45723</v>
      </c>
      <c r="H1802" t="s">
        <v>12</v>
      </c>
      <c r="I1802" t="s">
        <v>3</v>
      </c>
      <c r="J1802">
        <v>4</v>
      </c>
      <c r="K1802" t="s">
        <v>4</v>
      </c>
      <c r="L1802" t="s">
        <v>47</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1887</v>
      </c>
      <c r="B1803" t="s">
        <v>27</v>
      </c>
      <c r="C1803">
        <v>3</v>
      </c>
      <c r="D1803">
        <v>69.5</v>
      </c>
      <c r="E1803">
        <v>208.5</v>
      </c>
      <c r="F1803" s="1">
        <v>45723</v>
      </c>
      <c r="G1803" s="1">
        <v>45724</v>
      </c>
      <c r="H1803" t="s">
        <v>12</v>
      </c>
      <c r="I1803" t="s">
        <v>36</v>
      </c>
      <c r="J1803">
        <v>5</v>
      </c>
      <c r="K1803" t="s">
        <v>4</v>
      </c>
      <c r="L1803" t="s">
        <v>47</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1888</v>
      </c>
      <c r="B1804" t="s">
        <v>1</v>
      </c>
      <c r="C1804">
        <v>2</v>
      </c>
      <c r="D1804">
        <v>16.7</v>
      </c>
      <c r="E1804">
        <v>33.4</v>
      </c>
      <c r="F1804" s="1">
        <v>45723</v>
      </c>
      <c r="G1804" s="1">
        <v>45724</v>
      </c>
      <c r="H1804" t="s">
        <v>12</v>
      </c>
      <c r="I1804" t="s">
        <v>36</v>
      </c>
      <c r="J1804">
        <v>3</v>
      </c>
      <c r="K1804" t="s">
        <v>4</v>
      </c>
      <c r="L1804" t="s">
        <v>47</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1889</v>
      </c>
      <c r="B1805" t="s">
        <v>31</v>
      </c>
      <c r="C1805">
        <v>2</v>
      </c>
      <c r="D1805">
        <v>62.6</v>
      </c>
      <c r="E1805">
        <v>125.2</v>
      </c>
      <c r="F1805" s="1">
        <v>45723</v>
      </c>
      <c r="G1805" s="1">
        <v>45724</v>
      </c>
      <c r="H1805" t="s">
        <v>8</v>
      </c>
      <c r="I1805" t="s">
        <v>25</v>
      </c>
      <c r="J1805">
        <v>5</v>
      </c>
      <c r="K1805" t="s">
        <v>4</v>
      </c>
      <c r="L1805" t="s">
        <v>57</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1890</v>
      </c>
      <c r="B1806" t="s">
        <v>27</v>
      </c>
      <c r="C1806">
        <v>1</v>
      </c>
      <c r="D1806">
        <v>81.2</v>
      </c>
      <c r="E1806">
        <v>81.2</v>
      </c>
      <c r="F1806" s="1">
        <v>45723</v>
      </c>
      <c r="G1806" s="1">
        <v>45729</v>
      </c>
      <c r="H1806" t="s">
        <v>8</v>
      </c>
      <c r="I1806" t="s">
        <v>55</v>
      </c>
      <c r="J1806">
        <v>2</v>
      </c>
      <c r="K1806" t="s">
        <v>4</v>
      </c>
      <c r="L1806" t="s">
        <v>57</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1891</v>
      </c>
      <c r="B1807" t="s">
        <v>1</v>
      </c>
      <c r="C1807">
        <v>10</v>
      </c>
      <c r="D1807">
        <v>12.7</v>
      </c>
      <c r="E1807">
        <v>127</v>
      </c>
      <c r="F1807" s="1">
        <v>45723</v>
      </c>
      <c r="G1807" s="1">
        <v>45724</v>
      </c>
      <c r="H1807" t="s">
        <v>12</v>
      </c>
      <c r="I1807" t="s">
        <v>3</v>
      </c>
      <c r="J1807">
        <v>5</v>
      </c>
      <c r="K1807" t="s">
        <v>4</v>
      </c>
      <c r="L1807" t="s">
        <v>57</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1892</v>
      </c>
      <c r="B1808" t="s">
        <v>27</v>
      </c>
      <c r="C1808">
        <v>4</v>
      </c>
      <c r="D1808">
        <v>77.7</v>
      </c>
      <c r="E1808">
        <v>310.8</v>
      </c>
      <c r="F1808" s="1">
        <v>45724</v>
      </c>
      <c r="G1808" s="1">
        <v>45728</v>
      </c>
      <c r="H1808" t="s">
        <v>8</v>
      </c>
      <c r="I1808" t="s">
        <v>20</v>
      </c>
      <c r="J1808">
        <v>4</v>
      </c>
      <c r="K1808" t="s">
        <v>4</v>
      </c>
      <c r="L1808" t="s">
        <v>62</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1893</v>
      </c>
      <c r="B1809" t="s">
        <v>22</v>
      </c>
      <c r="C1809">
        <v>2</v>
      </c>
      <c r="D1809">
        <v>37.299999999999997</v>
      </c>
      <c r="E1809">
        <v>74.599999999999994</v>
      </c>
      <c r="F1809" s="1">
        <v>45724</v>
      </c>
      <c r="G1809" s="1">
        <v>45725</v>
      </c>
      <c r="H1809" t="s">
        <v>12</v>
      </c>
      <c r="I1809" t="s">
        <v>3</v>
      </c>
      <c r="J1809">
        <v>5</v>
      </c>
      <c r="K1809" t="s">
        <v>4</v>
      </c>
      <c r="L1809" t="s">
        <v>93</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1894</v>
      </c>
      <c r="B1810" t="s">
        <v>39</v>
      </c>
      <c r="C1810">
        <v>4</v>
      </c>
      <c r="D1810">
        <v>35.6</v>
      </c>
      <c r="E1810">
        <v>142.4</v>
      </c>
      <c r="F1810" s="1">
        <v>45724</v>
      </c>
      <c r="G1810" s="1">
        <v>45726</v>
      </c>
      <c r="H1810" t="s">
        <v>12</v>
      </c>
      <c r="I1810" t="s">
        <v>20</v>
      </c>
      <c r="J1810">
        <v>3</v>
      </c>
      <c r="K1810" t="s">
        <v>4</v>
      </c>
      <c r="L1810" t="s">
        <v>95</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1895</v>
      </c>
      <c r="B1811" t="s">
        <v>11</v>
      </c>
      <c r="C1811">
        <v>3</v>
      </c>
      <c r="D1811">
        <v>95</v>
      </c>
      <c r="E1811">
        <v>285</v>
      </c>
      <c r="F1811" s="1">
        <v>45724</v>
      </c>
      <c r="G1811" s="1">
        <v>45728</v>
      </c>
      <c r="H1811" t="s">
        <v>12</v>
      </c>
      <c r="I1811" t="s">
        <v>25</v>
      </c>
      <c r="J1811">
        <v>5</v>
      </c>
      <c r="K1811" t="s">
        <v>4</v>
      </c>
      <c r="L1811" t="s">
        <v>1896</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1897</v>
      </c>
      <c r="B1812" t="s">
        <v>11</v>
      </c>
      <c r="C1812">
        <v>4</v>
      </c>
      <c r="D1812">
        <v>172.1</v>
      </c>
      <c r="E1812">
        <v>688.4</v>
      </c>
      <c r="F1812" s="1">
        <v>45724</v>
      </c>
      <c r="G1812" s="1">
        <v>45728</v>
      </c>
      <c r="H1812" t="s">
        <v>74</v>
      </c>
      <c r="I1812" t="s">
        <v>25</v>
      </c>
      <c r="J1812">
        <v>5</v>
      </c>
      <c r="K1812" t="s">
        <v>4</v>
      </c>
      <c r="L1812" t="s">
        <v>100</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1898</v>
      </c>
      <c r="B1813" t="s">
        <v>11</v>
      </c>
      <c r="C1813">
        <v>2</v>
      </c>
      <c r="D1813">
        <v>233</v>
      </c>
      <c r="E1813">
        <v>466</v>
      </c>
      <c r="F1813" s="1">
        <v>45724</v>
      </c>
      <c r="G1813" s="1">
        <v>45727</v>
      </c>
      <c r="H1813" t="s">
        <v>12</v>
      </c>
      <c r="I1813" t="s">
        <v>20</v>
      </c>
      <c r="J1813">
        <v>4</v>
      </c>
      <c r="K1813" t="s">
        <v>4</v>
      </c>
      <c r="L1813" t="s">
        <v>100</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1899</v>
      </c>
      <c r="B1814" t="s">
        <v>1</v>
      </c>
      <c r="C1814">
        <v>1</v>
      </c>
      <c r="D1814">
        <v>43.5</v>
      </c>
      <c r="E1814">
        <v>43.5</v>
      </c>
      <c r="F1814" s="1">
        <v>45724</v>
      </c>
      <c r="G1814" s="1">
        <v>45725</v>
      </c>
      <c r="H1814" t="s">
        <v>12</v>
      </c>
      <c r="I1814" t="s">
        <v>25</v>
      </c>
      <c r="J1814">
        <v>5</v>
      </c>
      <c r="K1814" t="s">
        <v>4</v>
      </c>
      <c r="L1814" t="s">
        <v>100</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1900</v>
      </c>
      <c r="B1815" t="s">
        <v>31</v>
      </c>
      <c r="C1815">
        <v>2</v>
      </c>
      <c r="D1815">
        <v>47.8</v>
      </c>
      <c r="E1815">
        <v>95.6</v>
      </c>
      <c r="F1815" s="1">
        <v>45724</v>
      </c>
      <c r="G1815" s="1">
        <v>45727</v>
      </c>
      <c r="H1815" t="s">
        <v>8</v>
      </c>
      <c r="I1815" t="s">
        <v>55</v>
      </c>
      <c r="J1815">
        <v>5</v>
      </c>
      <c r="K1815" t="s">
        <v>4</v>
      </c>
      <c r="L1815" t="s">
        <v>9</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1901</v>
      </c>
      <c r="B1816" t="s">
        <v>54</v>
      </c>
      <c r="C1816">
        <v>2</v>
      </c>
      <c r="D1816">
        <v>65.8</v>
      </c>
      <c r="E1816">
        <v>131.6</v>
      </c>
      <c r="F1816" s="1">
        <v>45724</v>
      </c>
      <c r="G1816" s="1">
        <v>45726</v>
      </c>
      <c r="H1816" t="s">
        <v>12</v>
      </c>
      <c r="I1816" t="s">
        <v>3</v>
      </c>
      <c r="J1816">
        <v>1</v>
      </c>
      <c r="K1816" t="s">
        <v>4</v>
      </c>
      <c r="L1816" t="s">
        <v>316</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1902</v>
      </c>
      <c r="B1817" t="s">
        <v>108</v>
      </c>
      <c r="C1817">
        <v>11</v>
      </c>
      <c r="D1817">
        <v>38.700000000000003</v>
      </c>
      <c r="E1817">
        <v>425.70000000000005</v>
      </c>
      <c r="F1817" s="1">
        <v>45724</v>
      </c>
      <c r="G1817" s="1">
        <v>45724</v>
      </c>
      <c r="H1817" t="s">
        <v>8</v>
      </c>
      <c r="I1817" t="s">
        <v>3</v>
      </c>
      <c r="J1817">
        <v>4</v>
      </c>
      <c r="K1817" t="s">
        <v>4</v>
      </c>
      <c r="L1817" t="s">
        <v>132</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1903</v>
      </c>
      <c r="B1818" t="s">
        <v>15</v>
      </c>
      <c r="C1818">
        <v>4</v>
      </c>
      <c r="D1818">
        <v>55.7</v>
      </c>
      <c r="E1818">
        <v>222.8</v>
      </c>
      <c r="F1818" s="1">
        <v>45724</v>
      </c>
      <c r="G1818" s="1">
        <v>45726</v>
      </c>
      <c r="H1818" t="s">
        <v>74</v>
      </c>
      <c r="I1818" t="s">
        <v>3</v>
      </c>
      <c r="J1818">
        <v>3</v>
      </c>
      <c r="K1818" t="s">
        <v>4</v>
      </c>
      <c r="L1818" t="s">
        <v>132</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1904</v>
      </c>
      <c r="B1819" t="s">
        <v>27</v>
      </c>
      <c r="C1819">
        <v>2</v>
      </c>
      <c r="D1819">
        <v>102.4</v>
      </c>
      <c r="E1819">
        <v>204.8</v>
      </c>
      <c r="F1819" s="1">
        <v>45724</v>
      </c>
      <c r="G1819" s="1">
        <v>45724</v>
      </c>
      <c r="H1819" t="s">
        <v>12</v>
      </c>
      <c r="I1819" t="s">
        <v>20</v>
      </c>
      <c r="J1819">
        <v>4</v>
      </c>
      <c r="K1819" t="s">
        <v>4</v>
      </c>
      <c r="L1819" t="s">
        <v>18</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1905</v>
      </c>
      <c r="B1820" t="s">
        <v>7</v>
      </c>
      <c r="C1820">
        <v>1</v>
      </c>
      <c r="D1820">
        <v>92</v>
      </c>
      <c r="E1820">
        <v>92</v>
      </c>
      <c r="F1820" s="1">
        <v>45724</v>
      </c>
      <c r="G1820" s="1">
        <v>45728</v>
      </c>
      <c r="H1820" t="s">
        <v>2</v>
      </c>
      <c r="I1820" t="s">
        <v>25</v>
      </c>
      <c r="J1820">
        <v>4</v>
      </c>
      <c r="K1820" t="s">
        <v>4</v>
      </c>
      <c r="L1820" t="s">
        <v>18</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1906</v>
      </c>
      <c r="B1821" t="s">
        <v>24</v>
      </c>
      <c r="C1821">
        <v>4</v>
      </c>
      <c r="D1821">
        <v>75.900000000000006</v>
      </c>
      <c r="E1821">
        <v>303.60000000000002</v>
      </c>
      <c r="F1821" s="1">
        <v>45724</v>
      </c>
      <c r="G1821" s="1">
        <v>45726</v>
      </c>
      <c r="H1821" t="s">
        <v>12</v>
      </c>
      <c r="I1821" t="s">
        <v>20</v>
      </c>
      <c r="J1821">
        <v>4</v>
      </c>
      <c r="K1821" t="s">
        <v>4</v>
      </c>
      <c r="L1821" t="s">
        <v>18</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1907</v>
      </c>
      <c r="B1822" t="s">
        <v>7</v>
      </c>
      <c r="C1822">
        <v>4</v>
      </c>
      <c r="D1822">
        <v>36.200000000000003</v>
      </c>
      <c r="E1822">
        <v>144.80000000000001</v>
      </c>
      <c r="F1822" s="1">
        <v>45724</v>
      </c>
      <c r="G1822" s="1">
        <v>45725</v>
      </c>
      <c r="H1822" t="s">
        <v>12</v>
      </c>
      <c r="I1822" t="s">
        <v>20</v>
      </c>
      <c r="J1822">
        <v>4</v>
      </c>
      <c r="K1822" t="s">
        <v>4</v>
      </c>
      <c r="L1822" t="s">
        <v>18</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1908</v>
      </c>
      <c r="B1823" t="s">
        <v>24</v>
      </c>
      <c r="C1823">
        <v>87</v>
      </c>
      <c r="D1823">
        <v>83.5</v>
      </c>
      <c r="E1823">
        <v>7264.5</v>
      </c>
      <c r="F1823" s="1">
        <v>45724</v>
      </c>
      <c r="G1823" s="1">
        <v>45726</v>
      </c>
      <c r="H1823" t="s">
        <v>2</v>
      </c>
      <c r="I1823" t="s">
        <v>36</v>
      </c>
      <c r="J1823">
        <v>4</v>
      </c>
      <c r="K1823" t="s">
        <v>4</v>
      </c>
      <c r="L1823" t="s">
        <v>18</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1909</v>
      </c>
      <c r="B1824" t="s">
        <v>156</v>
      </c>
      <c r="C1824">
        <v>12</v>
      </c>
      <c r="D1824">
        <v>52.4</v>
      </c>
      <c r="E1824">
        <v>628.79999999999995</v>
      </c>
      <c r="F1824" s="1">
        <v>45724</v>
      </c>
      <c r="G1824" s="1">
        <v>45724</v>
      </c>
      <c r="H1824" t="s">
        <v>8</v>
      </c>
      <c r="I1824" t="s">
        <v>25</v>
      </c>
      <c r="J1824">
        <v>4</v>
      </c>
      <c r="K1824" t="s">
        <v>4</v>
      </c>
      <c r="L1824" t="s">
        <v>18</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1910</v>
      </c>
      <c r="B1825" t="s">
        <v>54</v>
      </c>
      <c r="C1825">
        <v>3</v>
      </c>
      <c r="D1825">
        <v>69.5</v>
      </c>
      <c r="E1825">
        <v>208.5</v>
      </c>
      <c r="F1825" s="1">
        <v>45724</v>
      </c>
      <c r="G1825" s="1">
        <v>45725</v>
      </c>
      <c r="H1825" t="s">
        <v>74</v>
      </c>
      <c r="I1825" t="s">
        <v>55</v>
      </c>
      <c r="J1825">
        <v>4</v>
      </c>
      <c r="K1825" t="s">
        <v>4</v>
      </c>
      <c r="L1825" t="s">
        <v>18</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1911</v>
      </c>
      <c r="B1826" t="s">
        <v>1</v>
      </c>
      <c r="C1826">
        <v>1</v>
      </c>
      <c r="D1826">
        <v>15.5</v>
      </c>
      <c r="E1826">
        <v>15.5</v>
      </c>
      <c r="F1826" s="1">
        <v>45724</v>
      </c>
      <c r="G1826" s="1">
        <v>45726</v>
      </c>
      <c r="H1826" t="s">
        <v>8</v>
      </c>
      <c r="I1826" t="s">
        <v>3</v>
      </c>
      <c r="J1826">
        <v>4</v>
      </c>
      <c r="K1826" t="s">
        <v>4</v>
      </c>
      <c r="L1826" t="s">
        <v>18</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1912</v>
      </c>
      <c r="B1827" t="s">
        <v>17</v>
      </c>
      <c r="C1827">
        <v>4</v>
      </c>
      <c r="D1827">
        <v>35.200000000000003</v>
      </c>
      <c r="E1827">
        <v>140.80000000000001</v>
      </c>
      <c r="F1827" s="1">
        <v>45724</v>
      </c>
      <c r="G1827" s="1">
        <v>45725</v>
      </c>
      <c r="H1827" t="s">
        <v>12</v>
      </c>
      <c r="I1827" t="s">
        <v>25</v>
      </c>
      <c r="J1827">
        <v>5</v>
      </c>
      <c r="K1827" t="s">
        <v>4</v>
      </c>
      <c r="L1827" t="s">
        <v>18</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1913</v>
      </c>
      <c r="B1828" t="s">
        <v>29</v>
      </c>
      <c r="C1828">
        <v>6</v>
      </c>
      <c r="D1828">
        <v>34.6</v>
      </c>
      <c r="E1828">
        <v>207.60000000000002</v>
      </c>
      <c r="F1828" s="1">
        <v>45724</v>
      </c>
      <c r="G1828" s="1">
        <v>45725</v>
      </c>
      <c r="H1828" t="s">
        <v>2</v>
      </c>
      <c r="I1828" t="s">
        <v>3</v>
      </c>
      <c r="J1828">
        <v>3</v>
      </c>
      <c r="K1828" t="s">
        <v>4</v>
      </c>
      <c r="L1828" t="s">
        <v>18</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1914</v>
      </c>
      <c r="B1829" t="s">
        <v>17</v>
      </c>
      <c r="C1829">
        <v>1</v>
      </c>
      <c r="D1829">
        <v>21.3</v>
      </c>
      <c r="E1829">
        <v>21.3</v>
      </c>
      <c r="F1829" s="1">
        <v>45725</v>
      </c>
      <c r="G1829" s="1">
        <v>45726</v>
      </c>
      <c r="H1829" t="s">
        <v>8</v>
      </c>
      <c r="I1829" t="s">
        <v>25</v>
      </c>
      <c r="J1829">
        <v>3</v>
      </c>
      <c r="K1829" t="s">
        <v>4</v>
      </c>
      <c r="L1829" t="s">
        <v>18</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1915</v>
      </c>
      <c r="B1830" t="s">
        <v>24</v>
      </c>
      <c r="C1830">
        <v>2</v>
      </c>
      <c r="D1830">
        <v>136.5</v>
      </c>
      <c r="E1830">
        <v>273</v>
      </c>
      <c r="F1830" s="1">
        <v>45725</v>
      </c>
      <c r="G1830" s="1">
        <v>45731</v>
      </c>
      <c r="H1830" t="s">
        <v>12</v>
      </c>
      <c r="I1830" t="s">
        <v>3</v>
      </c>
      <c r="J1830">
        <v>4</v>
      </c>
      <c r="K1830" t="s">
        <v>4</v>
      </c>
      <c r="L1830" t="s">
        <v>349</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1916</v>
      </c>
      <c r="B1831" t="s">
        <v>31</v>
      </c>
      <c r="C1831">
        <v>7</v>
      </c>
      <c r="D1831">
        <v>30.7</v>
      </c>
      <c r="E1831">
        <v>214.9</v>
      </c>
      <c r="F1831" s="1">
        <v>45725</v>
      </c>
      <c r="G1831" s="1">
        <v>45726</v>
      </c>
      <c r="H1831" t="s">
        <v>8</v>
      </c>
      <c r="I1831" t="s">
        <v>25</v>
      </c>
      <c r="J1831">
        <v>5</v>
      </c>
      <c r="K1831" t="s">
        <v>4</v>
      </c>
      <c r="L1831" t="s">
        <v>173</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1917</v>
      </c>
      <c r="B1832" t="s">
        <v>7</v>
      </c>
      <c r="C1832">
        <v>2</v>
      </c>
      <c r="D1832">
        <v>61.6</v>
      </c>
      <c r="E1832">
        <v>123.2</v>
      </c>
      <c r="F1832" s="1">
        <v>45725</v>
      </c>
      <c r="G1832" s="1">
        <v>45726</v>
      </c>
      <c r="H1832" t="s">
        <v>12</v>
      </c>
      <c r="I1832" t="s">
        <v>25</v>
      </c>
      <c r="J1832">
        <v>5</v>
      </c>
      <c r="K1832" t="s">
        <v>4</v>
      </c>
      <c r="L1832" t="s">
        <v>143</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1918</v>
      </c>
      <c r="B1833" t="s">
        <v>24</v>
      </c>
      <c r="C1833">
        <v>4</v>
      </c>
      <c r="D1833">
        <v>54.3</v>
      </c>
      <c r="E1833">
        <v>217.2</v>
      </c>
      <c r="F1833" s="1">
        <v>45725</v>
      </c>
      <c r="G1833" s="1">
        <v>45727</v>
      </c>
      <c r="H1833" t="s">
        <v>2</v>
      </c>
      <c r="I1833" t="s">
        <v>55</v>
      </c>
      <c r="J1833">
        <v>4</v>
      </c>
      <c r="K1833" t="s">
        <v>4</v>
      </c>
      <c r="L1833" t="s">
        <v>44</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1919</v>
      </c>
      <c r="B1834" t="s">
        <v>7</v>
      </c>
      <c r="C1834">
        <v>2</v>
      </c>
      <c r="D1834">
        <v>44.1</v>
      </c>
      <c r="E1834">
        <v>88.2</v>
      </c>
      <c r="F1834" s="1">
        <v>45725</v>
      </c>
      <c r="G1834" s="1">
        <v>45737</v>
      </c>
      <c r="H1834" t="s">
        <v>12</v>
      </c>
      <c r="I1834" t="s">
        <v>3</v>
      </c>
      <c r="J1834">
        <v>5</v>
      </c>
      <c r="K1834" t="s">
        <v>4</v>
      </c>
      <c r="L1834" t="s">
        <v>47</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1920</v>
      </c>
      <c r="B1835" t="s">
        <v>29</v>
      </c>
      <c r="C1835">
        <v>4</v>
      </c>
      <c r="D1835">
        <v>43.5</v>
      </c>
      <c r="E1835">
        <v>174</v>
      </c>
      <c r="F1835" s="1">
        <v>45725</v>
      </c>
      <c r="G1835" s="1">
        <v>45731</v>
      </c>
      <c r="H1835" t="s">
        <v>8</v>
      </c>
      <c r="I1835" t="s">
        <v>36</v>
      </c>
      <c r="J1835">
        <v>4</v>
      </c>
      <c r="K1835" t="s">
        <v>4</v>
      </c>
      <c r="L1835" t="s">
        <v>47</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1921</v>
      </c>
      <c r="B1836" t="s">
        <v>29</v>
      </c>
      <c r="C1836">
        <v>3</v>
      </c>
      <c r="D1836">
        <v>48.2</v>
      </c>
      <c r="E1836">
        <v>144.60000000000002</v>
      </c>
      <c r="F1836" s="1">
        <v>45725</v>
      </c>
      <c r="G1836" s="1">
        <v>45729</v>
      </c>
      <c r="H1836" t="s">
        <v>8</v>
      </c>
      <c r="I1836" t="s">
        <v>36</v>
      </c>
      <c r="J1836">
        <v>3</v>
      </c>
      <c r="K1836" t="s">
        <v>4</v>
      </c>
      <c r="L1836" t="s">
        <v>47</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1922</v>
      </c>
      <c r="B1837" t="s">
        <v>156</v>
      </c>
      <c r="C1837">
        <v>1</v>
      </c>
      <c r="D1837">
        <v>13.7</v>
      </c>
      <c r="E1837">
        <v>13.7</v>
      </c>
      <c r="F1837" s="1">
        <v>45725</v>
      </c>
      <c r="G1837" s="1">
        <v>45726</v>
      </c>
      <c r="H1837" t="s">
        <v>12</v>
      </c>
      <c r="I1837" t="s">
        <v>25</v>
      </c>
      <c r="J1837">
        <v>5</v>
      </c>
      <c r="K1837" t="s">
        <v>4</v>
      </c>
      <c r="L1837" t="s">
        <v>47</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1923</v>
      </c>
      <c r="B1838" t="s">
        <v>11</v>
      </c>
      <c r="C1838">
        <v>2</v>
      </c>
      <c r="D1838">
        <v>110.5</v>
      </c>
      <c r="E1838">
        <v>221</v>
      </c>
      <c r="F1838" s="1">
        <v>45725</v>
      </c>
      <c r="G1838" s="1">
        <v>45726</v>
      </c>
      <c r="H1838" t="s">
        <v>12</v>
      </c>
      <c r="I1838" t="s">
        <v>3</v>
      </c>
      <c r="J1838">
        <v>3</v>
      </c>
      <c r="K1838" t="s">
        <v>4</v>
      </c>
      <c r="L1838" t="s">
        <v>47</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1924</v>
      </c>
      <c r="B1839" t="s">
        <v>29</v>
      </c>
      <c r="C1839">
        <v>3</v>
      </c>
      <c r="D1839">
        <v>26</v>
      </c>
      <c r="E1839">
        <v>78</v>
      </c>
      <c r="F1839" s="1">
        <v>45725</v>
      </c>
      <c r="G1839" s="1">
        <v>45730</v>
      </c>
      <c r="H1839" t="s">
        <v>12</v>
      </c>
      <c r="I1839" t="s">
        <v>20</v>
      </c>
      <c r="J1839">
        <v>3</v>
      </c>
      <c r="K1839" t="s">
        <v>4</v>
      </c>
      <c r="L1839" t="s">
        <v>47</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1925</v>
      </c>
      <c r="B1840" t="s">
        <v>11</v>
      </c>
      <c r="C1840">
        <v>10</v>
      </c>
      <c r="D1840">
        <v>140.69999999999999</v>
      </c>
      <c r="E1840">
        <v>1407</v>
      </c>
      <c r="F1840" s="1">
        <v>45725</v>
      </c>
      <c r="G1840" s="1">
        <v>45731</v>
      </c>
      <c r="H1840" t="s">
        <v>8</v>
      </c>
      <c r="I1840" t="s">
        <v>36</v>
      </c>
      <c r="J1840">
        <v>3</v>
      </c>
      <c r="K1840" t="s">
        <v>4</v>
      </c>
      <c r="L1840" t="s">
        <v>47</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1926</v>
      </c>
      <c r="B1841" t="s">
        <v>120</v>
      </c>
      <c r="C1841">
        <v>2</v>
      </c>
      <c r="D1841">
        <v>41.7</v>
      </c>
      <c r="E1841">
        <v>83.4</v>
      </c>
      <c r="F1841" s="1">
        <v>45725</v>
      </c>
      <c r="G1841" s="1">
        <v>45733</v>
      </c>
      <c r="H1841" t="s">
        <v>12</v>
      </c>
      <c r="I1841" t="s">
        <v>3</v>
      </c>
      <c r="J1841">
        <v>2</v>
      </c>
      <c r="K1841" t="s">
        <v>4</v>
      </c>
      <c r="L1841" t="s">
        <v>47</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1927</v>
      </c>
      <c r="B1842" t="s">
        <v>11</v>
      </c>
      <c r="C1842">
        <v>2</v>
      </c>
      <c r="D1842">
        <v>135.1</v>
      </c>
      <c r="E1842">
        <v>270.2</v>
      </c>
      <c r="F1842" s="1">
        <v>45725</v>
      </c>
      <c r="G1842" s="1">
        <v>45726</v>
      </c>
      <c r="H1842" t="s">
        <v>8</v>
      </c>
      <c r="I1842" t="s">
        <v>3</v>
      </c>
      <c r="J1842">
        <v>5</v>
      </c>
      <c r="K1842" t="s">
        <v>4</v>
      </c>
      <c r="L1842" t="s">
        <v>88</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1928</v>
      </c>
      <c r="B1843" t="s">
        <v>54</v>
      </c>
      <c r="C1843">
        <v>22</v>
      </c>
      <c r="D1843">
        <v>95.5</v>
      </c>
      <c r="E1843">
        <v>2101</v>
      </c>
      <c r="F1843" s="1">
        <v>45725</v>
      </c>
      <c r="G1843" s="1">
        <v>45726</v>
      </c>
      <c r="H1843" t="s">
        <v>12</v>
      </c>
      <c r="I1843" t="s">
        <v>55</v>
      </c>
      <c r="J1843">
        <v>2</v>
      </c>
      <c r="K1843" t="s">
        <v>4</v>
      </c>
      <c r="L1843" t="s">
        <v>186</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1929</v>
      </c>
      <c r="B1844" t="s">
        <v>108</v>
      </c>
      <c r="C1844">
        <v>1</v>
      </c>
      <c r="D1844">
        <v>25.5</v>
      </c>
      <c r="E1844">
        <v>25.5</v>
      </c>
      <c r="F1844" s="1">
        <v>45725</v>
      </c>
      <c r="G1844" s="1">
        <v>45728</v>
      </c>
      <c r="H1844" t="s">
        <v>2</v>
      </c>
      <c r="I1844" t="s">
        <v>25</v>
      </c>
      <c r="J1844">
        <v>5</v>
      </c>
      <c r="K1844" t="s">
        <v>4</v>
      </c>
      <c r="L1844" t="s">
        <v>62</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1930</v>
      </c>
      <c r="B1845" t="s">
        <v>7</v>
      </c>
      <c r="C1845">
        <v>1</v>
      </c>
      <c r="D1845">
        <v>42.6</v>
      </c>
      <c r="E1845">
        <v>42.6</v>
      </c>
      <c r="F1845" s="1">
        <v>45725</v>
      </c>
      <c r="G1845" s="1">
        <v>45729</v>
      </c>
      <c r="H1845" t="s">
        <v>12</v>
      </c>
      <c r="I1845" t="s">
        <v>3</v>
      </c>
      <c r="J1845">
        <v>4</v>
      </c>
      <c r="K1845" t="s">
        <v>4</v>
      </c>
      <c r="L1845" t="s">
        <v>62</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1931</v>
      </c>
      <c r="B1846" t="s">
        <v>29</v>
      </c>
      <c r="C1846">
        <v>15</v>
      </c>
      <c r="D1846">
        <v>32.4</v>
      </c>
      <c r="E1846">
        <v>486</v>
      </c>
      <c r="F1846" s="1">
        <v>45725</v>
      </c>
      <c r="G1846" s="1">
        <v>45726</v>
      </c>
      <c r="H1846" t="s">
        <v>8</v>
      </c>
      <c r="I1846" t="s">
        <v>20</v>
      </c>
      <c r="J1846">
        <v>3</v>
      </c>
      <c r="K1846" t="s">
        <v>4</v>
      </c>
      <c r="L1846" t="s">
        <v>62</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1932</v>
      </c>
      <c r="B1847" t="s">
        <v>17</v>
      </c>
      <c r="C1847">
        <v>4</v>
      </c>
      <c r="D1847">
        <v>20.2</v>
      </c>
      <c r="E1847">
        <v>80.8</v>
      </c>
      <c r="F1847" s="1">
        <v>45725</v>
      </c>
      <c r="G1847" s="1">
        <v>45726</v>
      </c>
      <c r="H1847" t="s">
        <v>74</v>
      </c>
      <c r="I1847" t="s">
        <v>25</v>
      </c>
      <c r="J1847">
        <v>4</v>
      </c>
      <c r="K1847" t="s">
        <v>4</v>
      </c>
      <c r="L1847" t="s">
        <v>62</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1933</v>
      </c>
      <c r="B1848" t="s">
        <v>113</v>
      </c>
      <c r="C1848">
        <v>3</v>
      </c>
      <c r="D1848">
        <v>52.5</v>
      </c>
      <c r="E1848">
        <v>157.5</v>
      </c>
      <c r="F1848" s="1">
        <v>45725</v>
      </c>
      <c r="G1848" s="1">
        <v>45730</v>
      </c>
      <c r="H1848" t="s">
        <v>12</v>
      </c>
      <c r="I1848" t="s">
        <v>55</v>
      </c>
      <c r="J1848">
        <v>4</v>
      </c>
      <c r="K1848" t="s">
        <v>4</v>
      </c>
      <c r="L1848" t="s">
        <v>93</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1934</v>
      </c>
      <c r="B1849" t="s">
        <v>11</v>
      </c>
      <c r="C1849">
        <v>5</v>
      </c>
      <c r="D1849">
        <v>59.9</v>
      </c>
      <c r="E1849">
        <v>299.5</v>
      </c>
      <c r="F1849" s="1">
        <v>45725</v>
      </c>
      <c r="G1849" s="1">
        <v>45727</v>
      </c>
      <c r="H1849" t="s">
        <v>12</v>
      </c>
      <c r="I1849" t="s">
        <v>25</v>
      </c>
      <c r="J1849">
        <v>4</v>
      </c>
      <c r="K1849" t="s">
        <v>4</v>
      </c>
      <c r="L1849" t="s">
        <v>95</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1935</v>
      </c>
      <c r="B1850" t="s">
        <v>17</v>
      </c>
      <c r="C1850">
        <v>2</v>
      </c>
      <c r="D1850">
        <v>53.2</v>
      </c>
      <c r="E1850">
        <v>106.4</v>
      </c>
      <c r="F1850" s="1">
        <v>45725</v>
      </c>
      <c r="G1850" s="1">
        <v>45726</v>
      </c>
      <c r="H1850" t="s">
        <v>12</v>
      </c>
      <c r="I1850" t="s">
        <v>20</v>
      </c>
      <c r="J1850">
        <v>1</v>
      </c>
      <c r="K1850" t="s">
        <v>4</v>
      </c>
      <c r="L1850" t="s">
        <v>98</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1936</v>
      </c>
      <c r="B1851" t="s">
        <v>11</v>
      </c>
      <c r="C1851">
        <v>2</v>
      </c>
      <c r="D1851">
        <v>60</v>
      </c>
      <c r="E1851">
        <v>120</v>
      </c>
      <c r="F1851" s="1">
        <v>45725</v>
      </c>
      <c r="G1851" s="1">
        <v>45731</v>
      </c>
      <c r="H1851" t="s">
        <v>8</v>
      </c>
      <c r="I1851" t="s">
        <v>20</v>
      </c>
      <c r="J1851">
        <v>5</v>
      </c>
      <c r="K1851" t="s">
        <v>4</v>
      </c>
      <c r="L1851" t="s">
        <v>98</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1937</v>
      </c>
      <c r="B1852" t="s">
        <v>29</v>
      </c>
      <c r="C1852">
        <v>3</v>
      </c>
      <c r="D1852">
        <v>29.3</v>
      </c>
      <c r="E1852">
        <v>87.9</v>
      </c>
      <c r="F1852" s="1">
        <v>45725</v>
      </c>
      <c r="G1852" s="1">
        <v>45726</v>
      </c>
      <c r="H1852" t="s">
        <v>12</v>
      </c>
      <c r="I1852" t="s">
        <v>55</v>
      </c>
      <c r="J1852">
        <v>4</v>
      </c>
      <c r="K1852" t="s">
        <v>4</v>
      </c>
      <c r="L1852" t="s">
        <v>67</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1938</v>
      </c>
      <c r="B1853" t="s">
        <v>54</v>
      </c>
      <c r="C1853">
        <v>2</v>
      </c>
      <c r="D1853">
        <v>55.4</v>
      </c>
      <c r="E1853">
        <v>110.8</v>
      </c>
      <c r="F1853" s="1">
        <v>45725</v>
      </c>
      <c r="G1853" s="1">
        <v>45726</v>
      </c>
      <c r="H1853" t="s">
        <v>12</v>
      </c>
      <c r="I1853" t="s">
        <v>3</v>
      </c>
      <c r="J1853">
        <v>5</v>
      </c>
      <c r="K1853" t="s">
        <v>4</v>
      </c>
      <c r="L1853" t="s">
        <v>100</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1939</v>
      </c>
      <c r="B1854" t="s">
        <v>1</v>
      </c>
      <c r="C1854">
        <v>5</v>
      </c>
      <c r="D1854">
        <v>20.100000000000001</v>
      </c>
      <c r="E1854">
        <v>100.5</v>
      </c>
      <c r="F1854" s="1">
        <v>45725</v>
      </c>
      <c r="G1854" s="1">
        <v>45727</v>
      </c>
      <c r="H1854" t="s">
        <v>12</v>
      </c>
      <c r="I1854" t="s">
        <v>20</v>
      </c>
      <c r="J1854">
        <v>5</v>
      </c>
      <c r="K1854" t="s">
        <v>4</v>
      </c>
      <c r="L1854" t="s">
        <v>100</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1940</v>
      </c>
      <c r="B1855" t="s">
        <v>66</v>
      </c>
      <c r="C1855">
        <v>5</v>
      </c>
      <c r="D1855">
        <v>24</v>
      </c>
      <c r="E1855">
        <v>120</v>
      </c>
      <c r="F1855" s="1">
        <v>45725</v>
      </c>
      <c r="G1855" s="1">
        <v>45728</v>
      </c>
      <c r="H1855" t="s">
        <v>8</v>
      </c>
      <c r="I1855" t="s">
        <v>25</v>
      </c>
      <c r="J1855">
        <v>4</v>
      </c>
      <c r="K1855" t="s">
        <v>4</v>
      </c>
      <c r="L1855" t="s">
        <v>9</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1941</v>
      </c>
      <c r="B1856" t="s">
        <v>29</v>
      </c>
      <c r="C1856">
        <v>2</v>
      </c>
      <c r="D1856">
        <v>30.6</v>
      </c>
      <c r="E1856">
        <v>61.2</v>
      </c>
      <c r="F1856" s="1">
        <v>45726</v>
      </c>
      <c r="G1856" s="1">
        <v>45728</v>
      </c>
      <c r="H1856" t="s">
        <v>12</v>
      </c>
      <c r="I1856" t="s">
        <v>3</v>
      </c>
      <c r="J1856">
        <v>4</v>
      </c>
      <c r="K1856" t="s">
        <v>4</v>
      </c>
      <c r="L1856" t="s">
        <v>9</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1942</v>
      </c>
      <c r="B1857" t="s">
        <v>39</v>
      </c>
      <c r="C1857">
        <v>5</v>
      </c>
      <c r="D1857">
        <v>33</v>
      </c>
      <c r="E1857">
        <v>165</v>
      </c>
      <c r="F1857" s="1">
        <v>45726</v>
      </c>
      <c r="G1857" s="1">
        <v>45727</v>
      </c>
      <c r="H1857" t="s">
        <v>8</v>
      </c>
      <c r="I1857" t="s">
        <v>20</v>
      </c>
      <c r="J1857">
        <v>3</v>
      </c>
      <c r="K1857" t="s">
        <v>4</v>
      </c>
      <c r="L1857" t="s">
        <v>193</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1943</v>
      </c>
      <c r="B1858" t="s">
        <v>120</v>
      </c>
      <c r="C1858">
        <v>9</v>
      </c>
      <c r="D1858">
        <v>42.1</v>
      </c>
      <c r="E1858">
        <v>378.90000000000003</v>
      </c>
      <c r="F1858" s="1">
        <v>45726</v>
      </c>
      <c r="G1858" s="1">
        <v>45732</v>
      </c>
      <c r="H1858" t="s">
        <v>12</v>
      </c>
      <c r="I1858" t="s">
        <v>25</v>
      </c>
      <c r="J1858">
        <v>4</v>
      </c>
      <c r="K1858" t="s">
        <v>4</v>
      </c>
      <c r="L1858" t="s">
        <v>572</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1944</v>
      </c>
      <c r="B1859" t="s">
        <v>24</v>
      </c>
      <c r="C1859">
        <v>7</v>
      </c>
      <c r="D1859">
        <v>77.7</v>
      </c>
      <c r="E1859">
        <v>543.9</v>
      </c>
      <c r="F1859" s="1">
        <v>45726</v>
      </c>
      <c r="G1859" s="1">
        <v>45731</v>
      </c>
      <c r="H1859" t="s">
        <v>12</v>
      </c>
      <c r="I1859" t="s">
        <v>20</v>
      </c>
      <c r="J1859">
        <v>5</v>
      </c>
      <c r="K1859" t="s">
        <v>4</v>
      </c>
      <c r="L1859" t="s">
        <v>934</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1945</v>
      </c>
      <c r="B1860" t="s">
        <v>120</v>
      </c>
      <c r="C1860">
        <v>6</v>
      </c>
      <c r="D1860">
        <v>22.7</v>
      </c>
      <c r="E1860">
        <v>136.19999999999999</v>
      </c>
      <c r="F1860" s="1">
        <v>45726</v>
      </c>
      <c r="G1860" s="1">
        <v>45729</v>
      </c>
      <c r="H1860" t="s">
        <v>12</v>
      </c>
      <c r="I1860" t="s">
        <v>25</v>
      </c>
      <c r="J1860">
        <v>4</v>
      </c>
      <c r="K1860" t="s">
        <v>4</v>
      </c>
      <c r="L1860" t="s">
        <v>18</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1946</v>
      </c>
      <c r="B1861" t="s">
        <v>11</v>
      </c>
      <c r="C1861">
        <v>2</v>
      </c>
      <c r="D1861">
        <v>133</v>
      </c>
      <c r="E1861">
        <v>266</v>
      </c>
      <c r="F1861" s="1">
        <v>45726</v>
      </c>
      <c r="G1861" s="1">
        <v>45726</v>
      </c>
      <c r="H1861" t="s">
        <v>8</v>
      </c>
      <c r="I1861" t="s">
        <v>25</v>
      </c>
      <c r="J1861">
        <v>5</v>
      </c>
      <c r="K1861" t="s">
        <v>4</v>
      </c>
      <c r="L1861" t="s">
        <v>18</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1947</v>
      </c>
      <c r="B1862" t="s">
        <v>1</v>
      </c>
      <c r="C1862">
        <v>2</v>
      </c>
      <c r="D1862">
        <v>23.3</v>
      </c>
      <c r="E1862">
        <v>46.6</v>
      </c>
      <c r="F1862" s="1">
        <v>45726</v>
      </c>
      <c r="G1862" s="1">
        <v>45727</v>
      </c>
      <c r="H1862" t="s">
        <v>8</v>
      </c>
      <c r="I1862" t="s">
        <v>20</v>
      </c>
      <c r="J1862">
        <v>5</v>
      </c>
      <c r="K1862" t="s">
        <v>4</v>
      </c>
      <c r="L1862" t="s">
        <v>18</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1948</v>
      </c>
      <c r="B1863" t="s">
        <v>29</v>
      </c>
      <c r="C1863">
        <v>3</v>
      </c>
      <c r="D1863">
        <v>20.7</v>
      </c>
      <c r="E1863">
        <v>62.099999999999994</v>
      </c>
      <c r="F1863" s="1">
        <v>45726</v>
      </c>
      <c r="G1863" s="1">
        <v>45728</v>
      </c>
      <c r="H1863" t="s">
        <v>74</v>
      </c>
      <c r="I1863" t="s">
        <v>3</v>
      </c>
      <c r="J1863">
        <v>5</v>
      </c>
      <c r="K1863" t="s">
        <v>4</v>
      </c>
      <c r="L1863" t="s">
        <v>18</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1949</v>
      </c>
      <c r="B1864" t="s">
        <v>54</v>
      </c>
      <c r="C1864">
        <v>2</v>
      </c>
      <c r="D1864">
        <v>47</v>
      </c>
      <c r="E1864">
        <v>94</v>
      </c>
      <c r="F1864" s="1">
        <v>45726</v>
      </c>
      <c r="G1864" s="1">
        <v>45727</v>
      </c>
      <c r="H1864" t="s">
        <v>8</v>
      </c>
      <c r="I1864" t="s">
        <v>20</v>
      </c>
      <c r="J1864">
        <v>5</v>
      </c>
      <c r="K1864" t="s">
        <v>4</v>
      </c>
      <c r="L1864" t="s">
        <v>18</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1950</v>
      </c>
      <c r="B1865" t="s">
        <v>54</v>
      </c>
      <c r="C1865">
        <v>3</v>
      </c>
      <c r="D1865">
        <v>38.200000000000003</v>
      </c>
      <c r="E1865">
        <v>114.60000000000001</v>
      </c>
      <c r="F1865" s="1">
        <v>45726</v>
      </c>
      <c r="G1865" s="1">
        <v>45728</v>
      </c>
      <c r="H1865" t="s">
        <v>12</v>
      </c>
      <c r="I1865" t="s">
        <v>25</v>
      </c>
      <c r="J1865">
        <v>2</v>
      </c>
      <c r="K1865" t="s">
        <v>4</v>
      </c>
      <c r="L1865" t="s">
        <v>18</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1951</v>
      </c>
      <c r="B1866" t="s">
        <v>31</v>
      </c>
      <c r="C1866">
        <v>1</v>
      </c>
      <c r="D1866">
        <v>39.1</v>
      </c>
      <c r="E1866">
        <v>39.1</v>
      </c>
      <c r="F1866" s="1">
        <v>45726</v>
      </c>
      <c r="G1866" s="1">
        <v>45728</v>
      </c>
      <c r="H1866" t="s">
        <v>12</v>
      </c>
      <c r="I1866" t="s">
        <v>3</v>
      </c>
      <c r="J1866">
        <v>4</v>
      </c>
      <c r="K1866" t="s">
        <v>4</v>
      </c>
      <c r="L1866" t="s">
        <v>18</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1952</v>
      </c>
      <c r="B1867" t="s">
        <v>27</v>
      </c>
      <c r="C1867">
        <v>25</v>
      </c>
      <c r="D1867">
        <v>55.6</v>
      </c>
      <c r="E1867">
        <v>1390</v>
      </c>
      <c r="F1867" s="1">
        <v>45726</v>
      </c>
      <c r="G1867" s="1">
        <v>45728</v>
      </c>
      <c r="H1867" t="s">
        <v>8</v>
      </c>
      <c r="I1867" t="s">
        <v>3</v>
      </c>
      <c r="J1867">
        <v>5</v>
      </c>
      <c r="K1867" t="s">
        <v>4</v>
      </c>
      <c r="L1867" t="s">
        <v>18</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1953</v>
      </c>
      <c r="B1868" t="s">
        <v>108</v>
      </c>
      <c r="C1868">
        <v>1</v>
      </c>
      <c r="D1868">
        <v>43.1</v>
      </c>
      <c r="E1868">
        <v>43.1</v>
      </c>
      <c r="F1868" s="1">
        <v>45726</v>
      </c>
      <c r="G1868" s="1">
        <v>45726</v>
      </c>
      <c r="H1868" t="s">
        <v>74</v>
      </c>
      <c r="I1868" t="s">
        <v>20</v>
      </c>
      <c r="J1868">
        <v>5</v>
      </c>
      <c r="K1868" t="s">
        <v>4</v>
      </c>
      <c r="L1868" t="s">
        <v>18</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1954</v>
      </c>
      <c r="B1869" t="s">
        <v>24</v>
      </c>
      <c r="C1869">
        <v>4</v>
      </c>
      <c r="D1869">
        <v>48.1</v>
      </c>
      <c r="E1869">
        <v>192.4</v>
      </c>
      <c r="F1869" s="1">
        <v>45726</v>
      </c>
      <c r="G1869" s="1">
        <v>45727</v>
      </c>
      <c r="H1869" t="s">
        <v>12</v>
      </c>
      <c r="I1869" t="s">
        <v>55</v>
      </c>
      <c r="J1869">
        <v>5</v>
      </c>
      <c r="K1869" t="s">
        <v>4</v>
      </c>
      <c r="L1869" t="s">
        <v>18</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1955</v>
      </c>
      <c r="B1870" t="s">
        <v>17</v>
      </c>
      <c r="C1870">
        <v>1</v>
      </c>
      <c r="D1870">
        <v>42</v>
      </c>
      <c r="E1870">
        <v>42</v>
      </c>
      <c r="F1870" s="1">
        <v>45726</v>
      </c>
      <c r="G1870" s="1">
        <v>45727</v>
      </c>
      <c r="H1870" t="s">
        <v>74</v>
      </c>
      <c r="I1870" t="s">
        <v>3</v>
      </c>
      <c r="J1870">
        <v>4</v>
      </c>
      <c r="K1870" t="s">
        <v>4</v>
      </c>
      <c r="L1870" t="s">
        <v>18</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1956</v>
      </c>
      <c r="B1871" t="s">
        <v>29</v>
      </c>
      <c r="C1871">
        <v>5</v>
      </c>
      <c r="D1871">
        <v>18.3</v>
      </c>
      <c r="E1871">
        <v>91.5</v>
      </c>
      <c r="F1871" s="1">
        <v>45726</v>
      </c>
      <c r="G1871" s="1">
        <v>45726</v>
      </c>
      <c r="H1871" t="s">
        <v>12</v>
      </c>
      <c r="I1871" t="s">
        <v>25</v>
      </c>
      <c r="J1871">
        <v>4</v>
      </c>
      <c r="K1871" t="s">
        <v>4</v>
      </c>
      <c r="L1871" t="s">
        <v>18</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1957</v>
      </c>
      <c r="B1872" t="s">
        <v>39</v>
      </c>
      <c r="C1872">
        <v>4</v>
      </c>
      <c r="D1872">
        <v>45.3</v>
      </c>
      <c r="E1872">
        <v>181.2</v>
      </c>
      <c r="F1872" s="1">
        <v>45726</v>
      </c>
      <c r="G1872" s="1">
        <v>45729</v>
      </c>
      <c r="H1872" t="s">
        <v>12</v>
      </c>
      <c r="I1872" t="s">
        <v>3</v>
      </c>
      <c r="J1872">
        <v>5</v>
      </c>
      <c r="K1872" t="s">
        <v>4</v>
      </c>
      <c r="L1872" t="s">
        <v>18</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1958</v>
      </c>
      <c r="B1873" t="s">
        <v>1</v>
      </c>
      <c r="C1873">
        <v>2</v>
      </c>
      <c r="D1873">
        <v>27.6</v>
      </c>
      <c r="E1873">
        <v>55.2</v>
      </c>
      <c r="F1873" s="1">
        <v>45726</v>
      </c>
      <c r="G1873" s="1">
        <v>45728</v>
      </c>
      <c r="H1873" t="s">
        <v>8</v>
      </c>
      <c r="I1873" t="s">
        <v>3</v>
      </c>
      <c r="J1873">
        <v>5</v>
      </c>
      <c r="K1873" t="s">
        <v>4</v>
      </c>
      <c r="L1873" t="s">
        <v>349</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1959</v>
      </c>
      <c r="B1874" t="s">
        <v>17</v>
      </c>
      <c r="C1874">
        <v>5</v>
      </c>
      <c r="D1874">
        <v>26.9</v>
      </c>
      <c r="E1874">
        <v>134.5</v>
      </c>
      <c r="F1874" s="1">
        <v>45726</v>
      </c>
      <c r="G1874" s="1">
        <v>45727</v>
      </c>
      <c r="H1874" t="s">
        <v>12</v>
      </c>
      <c r="I1874" t="s">
        <v>25</v>
      </c>
      <c r="J1874">
        <v>4</v>
      </c>
      <c r="K1874" t="s">
        <v>4</v>
      </c>
      <c r="L1874" t="s">
        <v>173</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1960</v>
      </c>
      <c r="B1875" t="s">
        <v>11</v>
      </c>
      <c r="C1875">
        <v>9</v>
      </c>
      <c r="D1875">
        <v>82.4</v>
      </c>
      <c r="E1875">
        <v>741.6</v>
      </c>
      <c r="F1875" s="1">
        <v>45726</v>
      </c>
      <c r="G1875" s="1">
        <v>45728</v>
      </c>
      <c r="H1875" t="s">
        <v>74</v>
      </c>
      <c r="I1875" t="s">
        <v>25</v>
      </c>
      <c r="J1875">
        <v>4</v>
      </c>
      <c r="K1875" t="s">
        <v>4</v>
      </c>
      <c r="L1875" t="s">
        <v>37</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1961</v>
      </c>
      <c r="B1876" t="s">
        <v>24</v>
      </c>
      <c r="C1876">
        <v>1</v>
      </c>
      <c r="D1876">
        <v>103.7</v>
      </c>
      <c r="E1876">
        <v>103.7</v>
      </c>
      <c r="F1876" s="1">
        <v>45726</v>
      </c>
      <c r="G1876" s="1">
        <v>45728</v>
      </c>
      <c r="H1876" t="s">
        <v>12</v>
      </c>
      <c r="I1876" t="s">
        <v>20</v>
      </c>
      <c r="J1876">
        <v>4</v>
      </c>
      <c r="K1876" t="s">
        <v>4</v>
      </c>
      <c r="L1876" t="s">
        <v>37</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1962</v>
      </c>
      <c r="B1877" t="s">
        <v>11</v>
      </c>
      <c r="C1877">
        <v>2</v>
      </c>
      <c r="D1877">
        <v>58.8</v>
      </c>
      <c r="E1877">
        <v>117.6</v>
      </c>
      <c r="F1877" s="1">
        <v>45726</v>
      </c>
      <c r="G1877" s="1">
        <v>45731</v>
      </c>
      <c r="H1877" t="s">
        <v>12</v>
      </c>
      <c r="I1877" t="s">
        <v>20</v>
      </c>
      <c r="J1877">
        <v>5</v>
      </c>
      <c r="K1877" t="s">
        <v>4</v>
      </c>
      <c r="L1877" t="s">
        <v>40</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1963</v>
      </c>
      <c r="B1878" t="s">
        <v>61</v>
      </c>
      <c r="C1878">
        <v>1</v>
      </c>
      <c r="D1878">
        <v>31.5</v>
      </c>
      <c r="E1878">
        <v>31.5</v>
      </c>
      <c r="F1878" s="1">
        <v>45726</v>
      </c>
      <c r="G1878" s="1">
        <v>45727</v>
      </c>
      <c r="H1878" t="s">
        <v>12</v>
      </c>
      <c r="I1878" t="s">
        <v>20</v>
      </c>
      <c r="J1878">
        <v>3</v>
      </c>
      <c r="K1878" t="s">
        <v>4</v>
      </c>
      <c r="L1878" t="s">
        <v>40</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1964</v>
      </c>
      <c r="B1879" t="s">
        <v>27</v>
      </c>
      <c r="C1879">
        <v>5</v>
      </c>
      <c r="D1879">
        <v>36.799999999999997</v>
      </c>
      <c r="E1879">
        <v>184</v>
      </c>
      <c r="F1879" s="1">
        <v>45726</v>
      </c>
      <c r="G1879" s="1">
        <v>45728</v>
      </c>
      <c r="H1879" t="s">
        <v>12</v>
      </c>
      <c r="I1879" t="s">
        <v>3</v>
      </c>
      <c r="J1879">
        <v>4</v>
      </c>
      <c r="K1879" t="s">
        <v>4</v>
      </c>
      <c r="L1879" t="s">
        <v>47</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1965</v>
      </c>
      <c r="B1880" t="s">
        <v>15</v>
      </c>
      <c r="C1880">
        <v>1</v>
      </c>
      <c r="D1880">
        <v>84.4</v>
      </c>
      <c r="E1880">
        <v>84.4</v>
      </c>
      <c r="F1880" s="1">
        <v>45726</v>
      </c>
      <c r="G1880" s="1">
        <v>45727</v>
      </c>
      <c r="H1880" t="s">
        <v>12</v>
      </c>
      <c r="I1880" t="s">
        <v>3</v>
      </c>
      <c r="J1880">
        <v>4</v>
      </c>
      <c r="K1880" t="s">
        <v>4</v>
      </c>
      <c r="L1880" t="s">
        <v>47</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1966</v>
      </c>
      <c r="B1881" t="s">
        <v>66</v>
      </c>
      <c r="C1881">
        <v>1</v>
      </c>
      <c r="D1881">
        <v>44.7</v>
      </c>
      <c r="E1881">
        <v>44.7</v>
      </c>
      <c r="F1881" s="1">
        <v>45726</v>
      </c>
      <c r="G1881" s="1">
        <v>45727</v>
      </c>
      <c r="H1881" t="s">
        <v>8</v>
      </c>
      <c r="I1881" t="s">
        <v>3</v>
      </c>
      <c r="J1881">
        <v>3</v>
      </c>
      <c r="K1881" t="s">
        <v>4</v>
      </c>
      <c r="L1881" t="s">
        <v>47</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1967</v>
      </c>
      <c r="B1882" t="s">
        <v>31</v>
      </c>
      <c r="C1882">
        <v>8</v>
      </c>
      <c r="D1882">
        <v>39.4</v>
      </c>
      <c r="E1882">
        <v>315.2</v>
      </c>
      <c r="F1882" s="1">
        <v>45726</v>
      </c>
      <c r="G1882" s="1">
        <v>45727</v>
      </c>
      <c r="H1882" t="s">
        <v>12</v>
      </c>
      <c r="I1882" t="s">
        <v>20</v>
      </c>
      <c r="J1882">
        <v>5</v>
      </c>
      <c r="K1882" t="s">
        <v>4</v>
      </c>
      <c r="L1882" t="s">
        <v>47</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1968</v>
      </c>
      <c r="B1883" t="s">
        <v>52</v>
      </c>
      <c r="C1883">
        <v>4</v>
      </c>
      <c r="D1883">
        <v>34.9</v>
      </c>
      <c r="E1883">
        <v>139.6</v>
      </c>
      <c r="F1883" s="1">
        <v>45726</v>
      </c>
      <c r="G1883" s="1">
        <v>45728</v>
      </c>
      <c r="H1883" t="s">
        <v>12</v>
      </c>
      <c r="I1883" t="s">
        <v>3</v>
      </c>
      <c r="J1883">
        <v>5</v>
      </c>
      <c r="K1883" t="s">
        <v>4</v>
      </c>
      <c r="L1883" t="s">
        <v>47</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1969</v>
      </c>
      <c r="B1884" t="s">
        <v>7</v>
      </c>
      <c r="C1884">
        <v>3</v>
      </c>
      <c r="D1884">
        <v>62.3</v>
      </c>
      <c r="E1884">
        <v>186.89999999999998</v>
      </c>
      <c r="F1884" s="1">
        <v>45726</v>
      </c>
      <c r="G1884" s="1">
        <v>45728</v>
      </c>
      <c r="H1884" t="s">
        <v>8</v>
      </c>
      <c r="I1884" t="s">
        <v>55</v>
      </c>
      <c r="J1884">
        <v>5</v>
      </c>
      <c r="K1884" t="s">
        <v>4</v>
      </c>
      <c r="L1884" t="s">
        <v>47</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1970</v>
      </c>
      <c r="B1885" t="s">
        <v>29</v>
      </c>
      <c r="C1885">
        <v>4</v>
      </c>
      <c r="D1885">
        <v>21.1</v>
      </c>
      <c r="E1885">
        <v>84.4</v>
      </c>
      <c r="F1885" s="1">
        <v>45726</v>
      </c>
      <c r="G1885" s="1">
        <v>45729</v>
      </c>
      <c r="H1885" t="s">
        <v>8</v>
      </c>
      <c r="I1885" t="s">
        <v>36</v>
      </c>
      <c r="J1885">
        <v>4</v>
      </c>
      <c r="K1885" t="s">
        <v>4</v>
      </c>
      <c r="L1885" t="s">
        <v>47</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1971</v>
      </c>
      <c r="B1886" t="s">
        <v>29</v>
      </c>
      <c r="C1886">
        <v>3</v>
      </c>
      <c r="D1886">
        <v>33.200000000000003</v>
      </c>
      <c r="E1886">
        <v>99.600000000000009</v>
      </c>
      <c r="F1886" s="1">
        <v>45726</v>
      </c>
      <c r="G1886" s="1">
        <v>45740</v>
      </c>
      <c r="H1886" t="s">
        <v>2</v>
      </c>
      <c r="I1886" t="s">
        <v>3</v>
      </c>
      <c r="J1886">
        <v>2</v>
      </c>
      <c r="K1886" t="s">
        <v>4</v>
      </c>
      <c r="L1886" t="s">
        <v>47</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1972</v>
      </c>
      <c r="B1887" t="s">
        <v>7</v>
      </c>
      <c r="C1887">
        <v>4</v>
      </c>
      <c r="D1887">
        <v>74.5</v>
      </c>
      <c r="E1887">
        <v>298</v>
      </c>
      <c r="F1887" s="1">
        <v>45726</v>
      </c>
      <c r="G1887" s="1">
        <v>45727</v>
      </c>
      <c r="H1887" t="s">
        <v>8</v>
      </c>
      <c r="I1887" t="s">
        <v>55</v>
      </c>
      <c r="J1887">
        <v>4</v>
      </c>
      <c r="K1887" t="s">
        <v>4</v>
      </c>
      <c r="L1887" t="s">
        <v>47</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1973</v>
      </c>
      <c r="B1888" t="s">
        <v>39</v>
      </c>
      <c r="C1888">
        <v>12</v>
      </c>
      <c r="D1888">
        <v>68.599999999999994</v>
      </c>
      <c r="E1888">
        <v>823.19999999999993</v>
      </c>
      <c r="F1888" s="1">
        <v>45726</v>
      </c>
      <c r="G1888" s="1">
        <v>45729</v>
      </c>
      <c r="H1888" t="s">
        <v>12</v>
      </c>
      <c r="I1888" t="s">
        <v>3</v>
      </c>
      <c r="J1888">
        <v>5</v>
      </c>
      <c r="K1888" t="s">
        <v>4</v>
      </c>
      <c r="L1888" t="s">
        <v>47</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1974</v>
      </c>
      <c r="B1889" t="s">
        <v>22</v>
      </c>
      <c r="C1889">
        <v>14</v>
      </c>
      <c r="D1889">
        <v>36.4</v>
      </c>
      <c r="E1889">
        <v>509.59999999999997</v>
      </c>
      <c r="F1889" s="1">
        <v>45726</v>
      </c>
      <c r="G1889" s="1">
        <v>45728</v>
      </c>
      <c r="H1889" t="s">
        <v>12</v>
      </c>
      <c r="I1889" t="s">
        <v>3</v>
      </c>
      <c r="J1889">
        <v>3</v>
      </c>
      <c r="K1889" t="s">
        <v>4</v>
      </c>
      <c r="L1889" t="s">
        <v>57</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1975</v>
      </c>
      <c r="B1890" t="s">
        <v>113</v>
      </c>
      <c r="C1890">
        <v>5</v>
      </c>
      <c r="D1890">
        <v>67.599999999999994</v>
      </c>
      <c r="E1890">
        <v>338</v>
      </c>
      <c r="F1890" s="1">
        <v>45727</v>
      </c>
      <c r="G1890" s="1">
        <v>45730</v>
      </c>
      <c r="H1890" t="s">
        <v>12</v>
      </c>
      <c r="I1890" t="s">
        <v>55</v>
      </c>
      <c r="J1890">
        <v>3</v>
      </c>
      <c r="K1890" t="s">
        <v>4</v>
      </c>
      <c r="L1890" t="s">
        <v>57</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1976</v>
      </c>
      <c r="B1891" t="s">
        <v>108</v>
      </c>
      <c r="C1891">
        <v>1</v>
      </c>
      <c r="D1891">
        <v>46.3</v>
      </c>
      <c r="E1891">
        <v>46.3</v>
      </c>
      <c r="F1891" s="1">
        <v>45727</v>
      </c>
      <c r="G1891" s="1">
        <v>45728</v>
      </c>
      <c r="H1891" t="s">
        <v>8</v>
      </c>
      <c r="I1891" t="s">
        <v>25</v>
      </c>
      <c r="J1891">
        <v>4</v>
      </c>
      <c r="K1891" t="s">
        <v>4</v>
      </c>
      <c r="L1891" t="s">
        <v>57</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1977</v>
      </c>
      <c r="B1892" t="s">
        <v>7</v>
      </c>
      <c r="C1892">
        <v>3</v>
      </c>
      <c r="D1892">
        <v>124.2</v>
      </c>
      <c r="E1892">
        <v>372.6</v>
      </c>
      <c r="F1892" s="1">
        <v>45727</v>
      </c>
      <c r="G1892" s="1">
        <v>45729</v>
      </c>
      <c r="H1892" t="s">
        <v>12</v>
      </c>
      <c r="I1892" t="s">
        <v>20</v>
      </c>
      <c r="J1892">
        <v>5</v>
      </c>
      <c r="K1892" t="s">
        <v>4</v>
      </c>
      <c r="L1892" t="s">
        <v>62</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1978</v>
      </c>
      <c r="B1893" t="s">
        <v>39</v>
      </c>
      <c r="C1893">
        <v>2</v>
      </c>
      <c r="D1893">
        <v>37</v>
      </c>
      <c r="E1893">
        <v>74</v>
      </c>
      <c r="F1893" s="1">
        <v>45727</v>
      </c>
      <c r="G1893" s="1">
        <v>45733</v>
      </c>
      <c r="H1893" t="s">
        <v>8</v>
      </c>
      <c r="I1893" t="s">
        <v>3</v>
      </c>
      <c r="J1893">
        <v>4</v>
      </c>
      <c r="K1893" t="s">
        <v>4</v>
      </c>
      <c r="L1893" t="s">
        <v>62</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1979</v>
      </c>
      <c r="B1894" t="s">
        <v>22</v>
      </c>
      <c r="C1894">
        <v>1</v>
      </c>
      <c r="D1894">
        <v>41.8</v>
      </c>
      <c r="E1894">
        <v>41.8</v>
      </c>
      <c r="F1894" s="1">
        <v>45727</v>
      </c>
      <c r="G1894" s="1">
        <v>45728</v>
      </c>
      <c r="H1894" t="s">
        <v>8</v>
      </c>
      <c r="I1894" t="s">
        <v>25</v>
      </c>
      <c r="J1894">
        <v>4</v>
      </c>
      <c r="K1894" t="s">
        <v>4</v>
      </c>
      <c r="L1894" t="s">
        <v>277</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1980</v>
      </c>
      <c r="B1895" t="s">
        <v>31</v>
      </c>
      <c r="C1895">
        <v>2</v>
      </c>
      <c r="D1895">
        <v>57.2</v>
      </c>
      <c r="E1895">
        <v>114.4</v>
      </c>
      <c r="F1895" s="1">
        <v>45727</v>
      </c>
      <c r="G1895" s="1">
        <v>45729</v>
      </c>
      <c r="H1895" t="s">
        <v>8</v>
      </c>
      <c r="I1895" t="s">
        <v>25</v>
      </c>
      <c r="J1895">
        <v>3</v>
      </c>
      <c r="K1895" t="s">
        <v>4</v>
      </c>
      <c r="L1895" t="s">
        <v>98</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1981</v>
      </c>
      <c r="B1896" t="s">
        <v>24</v>
      </c>
      <c r="C1896">
        <v>2</v>
      </c>
      <c r="D1896">
        <v>47.1</v>
      </c>
      <c r="E1896">
        <v>94.2</v>
      </c>
      <c r="F1896" s="1">
        <v>45727</v>
      </c>
      <c r="G1896" s="1">
        <v>45729</v>
      </c>
      <c r="H1896" t="s">
        <v>12</v>
      </c>
      <c r="I1896" t="s">
        <v>3</v>
      </c>
      <c r="J1896">
        <v>2</v>
      </c>
      <c r="K1896" t="s">
        <v>4</v>
      </c>
      <c r="L1896" t="s">
        <v>98</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1982</v>
      </c>
      <c r="B1897" t="s">
        <v>22</v>
      </c>
      <c r="C1897">
        <v>3</v>
      </c>
      <c r="D1897">
        <v>86.4</v>
      </c>
      <c r="E1897">
        <v>259.20000000000005</v>
      </c>
      <c r="F1897" s="1">
        <v>45727</v>
      </c>
      <c r="G1897" s="1">
        <v>45728</v>
      </c>
      <c r="H1897" t="s">
        <v>8</v>
      </c>
      <c r="I1897" t="s">
        <v>25</v>
      </c>
      <c r="J1897">
        <v>3</v>
      </c>
      <c r="K1897" t="s">
        <v>4</v>
      </c>
      <c r="L1897" t="s">
        <v>982</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1983</v>
      </c>
      <c r="B1898" t="s">
        <v>24</v>
      </c>
      <c r="C1898">
        <v>5</v>
      </c>
      <c r="D1898">
        <v>105</v>
      </c>
      <c r="E1898">
        <v>525</v>
      </c>
      <c r="F1898" s="1">
        <v>45727</v>
      </c>
      <c r="G1898" s="1">
        <v>45730</v>
      </c>
      <c r="H1898" t="s">
        <v>8</v>
      </c>
      <c r="I1898" t="s">
        <v>3</v>
      </c>
      <c r="J1898">
        <v>4</v>
      </c>
      <c r="K1898" t="s">
        <v>4</v>
      </c>
      <c r="L1898" t="s">
        <v>67</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1984</v>
      </c>
      <c r="B1899" t="s">
        <v>131</v>
      </c>
      <c r="C1899">
        <v>1</v>
      </c>
      <c r="D1899">
        <v>33</v>
      </c>
      <c r="E1899">
        <v>33</v>
      </c>
      <c r="F1899" s="1">
        <v>45727</v>
      </c>
      <c r="G1899" s="1">
        <v>45730</v>
      </c>
      <c r="H1899" t="s">
        <v>8</v>
      </c>
      <c r="I1899" t="s">
        <v>55</v>
      </c>
      <c r="J1899">
        <v>4</v>
      </c>
      <c r="K1899" t="s">
        <v>4</v>
      </c>
      <c r="L1899" t="s">
        <v>100</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1985</v>
      </c>
      <c r="B1900" t="s">
        <v>24</v>
      </c>
      <c r="C1900">
        <v>5</v>
      </c>
      <c r="D1900">
        <v>106.6</v>
      </c>
      <c r="E1900">
        <v>533</v>
      </c>
      <c r="F1900" s="1">
        <v>45727</v>
      </c>
      <c r="G1900" s="1">
        <v>45740</v>
      </c>
      <c r="H1900" t="s">
        <v>12</v>
      </c>
      <c r="I1900" t="s">
        <v>25</v>
      </c>
      <c r="J1900">
        <v>4</v>
      </c>
      <c r="K1900" t="s">
        <v>4</v>
      </c>
      <c r="L1900" t="s">
        <v>9</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1986</v>
      </c>
      <c r="B1901" t="s">
        <v>39</v>
      </c>
      <c r="C1901">
        <v>32</v>
      </c>
      <c r="D1901">
        <v>26.8</v>
      </c>
      <c r="E1901">
        <v>857.6</v>
      </c>
      <c r="F1901" s="1">
        <v>45727</v>
      </c>
      <c r="G1901" s="1">
        <v>45728</v>
      </c>
      <c r="H1901" t="s">
        <v>12</v>
      </c>
      <c r="I1901" t="s">
        <v>25</v>
      </c>
      <c r="J1901">
        <v>4</v>
      </c>
      <c r="K1901" t="s">
        <v>4</v>
      </c>
      <c r="L1901" t="s">
        <v>9</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1987</v>
      </c>
      <c r="B1902" t="s">
        <v>120</v>
      </c>
      <c r="C1902">
        <v>5</v>
      </c>
      <c r="D1902">
        <v>25.8</v>
      </c>
      <c r="E1902">
        <v>129</v>
      </c>
      <c r="F1902" s="1">
        <v>45727</v>
      </c>
      <c r="G1902" s="1">
        <v>45727</v>
      </c>
      <c r="H1902" t="s">
        <v>12</v>
      </c>
      <c r="I1902" t="s">
        <v>20</v>
      </c>
      <c r="J1902">
        <v>5</v>
      </c>
      <c r="K1902" t="s">
        <v>4</v>
      </c>
      <c r="L1902" t="s">
        <v>18</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1988</v>
      </c>
      <c r="B1903" t="s">
        <v>11</v>
      </c>
      <c r="C1903">
        <v>3</v>
      </c>
      <c r="D1903">
        <v>217</v>
      </c>
      <c r="E1903">
        <v>651</v>
      </c>
      <c r="F1903" s="1">
        <v>45727</v>
      </c>
      <c r="G1903" s="1">
        <v>45728</v>
      </c>
      <c r="H1903" t="s">
        <v>12</v>
      </c>
      <c r="I1903" t="s">
        <v>20</v>
      </c>
      <c r="J1903">
        <v>3</v>
      </c>
      <c r="K1903" t="s">
        <v>4</v>
      </c>
      <c r="L1903" t="s">
        <v>18</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1989</v>
      </c>
      <c r="B1904" t="s">
        <v>11</v>
      </c>
      <c r="C1904">
        <v>2</v>
      </c>
      <c r="D1904">
        <v>97.3</v>
      </c>
      <c r="E1904">
        <v>194.6</v>
      </c>
      <c r="F1904" s="1">
        <v>45727</v>
      </c>
      <c r="G1904" s="1">
        <v>45728</v>
      </c>
      <c r="H1904" t="s">
        <v>8</v>
      </c>
      <c r="I1904" t="s">
        <v>25</v>
      </c>
      <c r="J1904">
        <v>2</v>
      </c>
      <c r="K1904" t="s">
        <v>4</v>
      </c>
      <c r="L1904" t="s">
        <v>18</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1990</v>
      </c>
      <c r="B1905" t="s">
        <v>7</v>
      </c>
      <c r="C1905">
        <v>1</v>
      </c>
      <c r="D1905">
        <v>49.8</v>
      </c>
      <c r="E1905">
        <v>49.8</v>
      </c>
      <c r="F1905" s="1">
        <v>45727</v>
      </c>
      <c r="G1905" s="1">
        <v>45728</v>
      </c>
      <c r="H1905" t="s">
        <v>12</v>
      </c>
      <c r="I1905" t="s">
        <v>3</v>
      </c>
      <c r="J1905">
        <v>4</v>
      </c>
      <c r="K1905" t="s">
        <v>4</v>
      </c>
      <c r="L1905" t="s">
        <v>18</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1991</v>
      </c>
      <c r="B1906" t="s">
        <v>54</v>
      </c>
      <c r="C1906">
        <v>5</v>
      </c>
      <c r="D1906">
        <v>32.6</v>
      </c>
      <c r="E1906">
        <v>163</v>
      </c>
      <c r="F1906" s="1">
        <v>45727</v>
      </c>
      <c r="G1906" s="1">
        <v>45728</v>
      </c>
      <c r="H1906" t="s">
        <v>12</v>
      </c>
      <c r="I1906" t="s">
        <v>3</v>
      </c>
      <c r="J1906">
        <v>4</v>
      </c>
      <c r="K1906" t="s">
        <v>4</v>
      </c>
      <c r="L1906" t="s">
        <v>18</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1992</v>
      </c>
      <c r="B1907" t="s">
        <v>31</v>
      </c>
      <c r="C1907">
        <v>2</v>
      </c>
      <c r="D1907">
        <v>40.1</v>
      </c>
      <c r="E1907">
        <v>80.2</v>
      </c>
      <c r="F1907" s="1">
        <v>45727</v>
      </c>
      <c r="G1907" s="1">
        <v>45730</v>
      </c>
      <c r="H1907" t="s">
        <v>8</v>
      </c>
      <c r="I1907" t="s">
        <v>20</v>
      </c>
      <c r="J1907">
        <v>5</v>
      </c>
      <c r="K1907" t="s">
        <v>4</v>
      </c>
      <c r="L1907" t="s">
        <v>18</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1993</v>
      </c>
      <c r="B1908" t="s">
        <v>39</v>
      </c>
      <c r="C1908">
        <v>2</v>
      </c>
      <c r="D1908">
        <v>49.4</v>
      </c>
      <c r="E1908">
        <v>98.8</v>
      </c>
      <c r="F1908" s="1">
        <v>45727</v>
      </c>
      <c r="G1908" s="1">
        <v>45729</v>
      </c>
      <c r="H1908" t="s">
        <v>8</v>
      </c>
      <c r="I1908" t="s">
        <v>20</v>
      </c>
      <c r="J1908">
        <v>4</v>
      </c>
      <c r="K1908" t="s">
        <v>4</v>
      </c>
      <c r="L1908" t="s">
        <v>18</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1994</v>
      </c>
      <c r="B1909" t="s">
        <v>11</v>
      </c>
      <c r="C1909">
        <v>1</v>
      </c>
      <c r="D1909">
        <v>67.3</v>
      </c>
      <c r="E1909">
        <v>67.3</v>
      </c>
      <c r="F1909" s="1">
        <v>45727</v>
      </c>
      <c r="G1909" s="1">
        <v>45728</v>
      </c>
      <c r="H1909" t="s">
        <v>12</v>
      </c>
      <c r="I1909" t="s">
        <v>3</v>
      </c>
      <c r="J1909">
        <v>5</v>
      </c>
      <c r="K1909" t="s">
        <v>4</v>
      </c>
      <c r="L1909" t="s">
        <v>18</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1995</v>
      </c>
      <c r="B1910" t="s">
        <v>131</v>
      </c>
      <c r="C1910">
        <v>4</v>
      </c>
      <c r="D1910">
        <v>44.5</v>
      </c>
      <c r="E1910">
        <v>178</v>
      </c>
      <c r="F1910" s="1">
        <v>45727</v>
      </c>
      <c r="G1910" s="1">
        <v>45730</v>
      </c>
      <c r="H1910" t="s">
        <v>2</v>
      </c>
      <c r="I1910" t="s">
        <v>20</v>
      </c>
      <c r="J1910">
        <v>4</v>
      </c>
      <c r="K1910" t="s">
        <v>4</v>
      </c>
      <c r="L1910" t="s">
        <v>18</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1996</v>
      </c>
      <c r="B1911" t="s">
        <v>24</v>
      </c>
      <c r="C1911">
        <v>11</v>
      </c>
      <c r="D1911">
        <v>111.1</v>
      </c>
      <c r="E1911">
        <v>1222.0999999999999</v>
      </c>
      <c r="F1911" s="1">
        <v>45727</v>
      </c>
      <c r="G1911" s="1">
        <v>45728</v>
      </c>
      <c r="H1911" t="s">
        <v>12</v>
      </c>
      <c r="I1911" t="s">
        <v>55</v>
      </c>
      <c r="J1911">
        <v>4</v>
      </c>
      <c r="K1911" t="s">
        <v>4</v>
      </c>
      <c r="L1911" t="s">
        <v>18</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1997</v>
      </c>
      <c r="B1912" t="s">
        <v>29</v>
      </c>
      <c r="C1912">
        <v>3</v>
      </c>
      <c r="D1912">
        <v>19.7</v>
      </c>
      <c r="E1912">
        <v>59.099999999999994</v>
      </c>
      <c r="F1912" s="1">
        <v>45727</v>
      </c>
      <c r="G1912" s="1">
        <v>45728</v>
      </c>
      <c r="H1912" t="s">
        <v>12</v>
      </c>
      <c r="I1912" t="s">
        <v>55</v>
      </c>
      <c r="J1912">
        <v>2</v>
      </c>
      <c r="K1912" t="s">
        <v>4</v>
      </c>
      <c r="L1912" t="s">
        <v>18</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1998</v>
      </c>
      <c r="B1913" t="s">
        <v>7</v>
      </c>
      <c r="C1913">
        <v>1</v>
      </c>
      <c r="D1913">
        <v>40.299999999999997</v>
      </c>
      <c r="E1913">
        <v>40.299999999999997</v>
      </c>
      <c r="F1913" s="1">
        <v>45727</v>
      </c>
      <c r="G1913" s="1">
        <v>45728</v>
      </c>
      <c r="H1913" t="s">
        <v>74</v>
      </c>
      <c r="I1913" t="s">
        <v>20</v>
      </c>
      <c r="J1913">
        <v>4</v>
      </c>
      <c r="K1913" t="s">
        <v>4</v>
      </c>
      <c r="L1913" t="s">
        <v>18</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1999</v>
      </c>
      <c r="B1914" t="s">
        <v>24</v>
      </c>
      <c r="C1914">
        <v>2</v>
      </c>
      <c r="D1914">
        <v>108.8</v>
      </c>
      <c r="E1914">
        <v>217.6</v>
      </c>
      <c r="F1914" s="1">
        <v>45727</v>
      </c>
      <c r="G1914" s="1">
        <v>45732</v>
      </c>
      <c r="H1914" t="s">
        <v>8</v>
      </c>
      <c r="I1914" t="s">
        <v>3</v>
      </c>
      <c r="J1914">
        <v>5</v>
      </c>
      <c r="K1914" t="s">
        <v>4</v>
      </c>
      <c r="L1914" t="s">
        <v>40</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2000</v>
      </c>
      <c r="B1915" t="s">
        <v>29</v>
      </c>
      <c r="C1915">
        <v>3</v>
      </c>
      <c r="D1915">
        <v>48.2</v>
      </c>
      <c r="E1915">
        <v>144.60000000000002</v>
      </c>
      <c r="F1915" s="1">
        <v>45727</v>
      </c>
      <c r="G1915" s="1">
        <v>45732</v>
      </c>
      <c r="H1915" t="s">
        <v>12</v>
      </c>
      <c r="I1915" t="s">
        <v>55</v>
      </c>
      <c r="J1915">
        <v>4</v>
      </c>
      <c r="K1915" t="s">
        <v>4</v>
      </c>
      <c r="L1915" t="s">
        <v>44</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2001</v>
      </c>
      <c r="B1916" t="s">
        <v>11</v>
      </c>
      <c r="C1916">
        <v>3</v>
      </c>
      <c r="D1916">
        <v>104.7</v>
      </c>
      <c r="E1916">
        <v>314.10000000000002</v>
      </c>
      <c r="F1916" s="1">
        <v>45727</v>
      </c>
      <c r="G1916" s="1">
        <v>45729</v>
      </c>
      <c r="H1916" t="s">
        <v>12</v>
      </c>
      <c r="I1916" t="s">
        <v>3</v>
      </c>
      <c r="J1916">
        <v>3</v>
      </c>
      <c r="K1916" t="s">
        <v>4</v>
      </c>
      <c r="L1916" t="s">
        <v>44</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2002</v>
      </c>
      <c r="B1917" t="s">
        <v>7</v>
      </c>
      <c r="C1917">
        <v>2</v>
      </c>
      <c r="D1917">
        <v>80.599999999999994</v>
      </c>
      <c r="E1917">
        <v>161.19999999999999</v>
      </c>
      <c r="F1917" s="1">
        <v>45727</v>
      </c>
      <c r="G1917" s="1">
        <v>45727</v>
      </c>
      <c r="H1917" t="s">
        <v>12</v>
      </c>
      <c r="I1917" t="s">
        <v>20</v>
      </c>
      <c r="J1917">
        <v>4</v>
      </c>
      <c r="K1917" t="s">
        <v>4</v>
      </c>
      <c r="L1917" t="s">
        <v>47</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2003</v>
      </c>
      <c r="B1918" t="s">
        <v>24</v>
      </c>
      <c r="C1918">
        <v>1</v>
      </c>
      <c r="D1918">
        <v>65.5</v>
      </c>
      <c r="E1918">
        <v>65.5</v>
      </c>
      <c r="F1918" s="1">
        <v>45727</v>
      </c>
      <c r="G1918" s="1">
        <v>45729</v>
      </c>
      <c r="H1918" t="s">
        <v>74</v>
      </c>
      <c r="I1918" t="s">
        <v>20</v>
      </c>
      <c r="J1918">
        <v>4</v>
      </c>
      <c r="K1918" t="s">
        <v>4</v>
      </c>
      <c r="L1918" t="s">
        <v>47</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2004</v>
      </c>
      <c r="B1919" t="s">
        <v>31</v>
      </c>
      <c r="C1919">
        <v>3</v>
      </c>
      <c r="D1919">
        <v>61.4</v>
      </c>
      <c r="E1919">
        <v>184.2</v>
      </c>
      <c r="F1919" s="1">
        <v>45727</v>
      </c>
      <c r="G1919" s="1">
        <v>45729</v>
      </c>
      <c r="H1919" t="s">
        <v>12</v>
      </c>
      <c r="I1919" t="s">
        <v>55</v>
      </c>
      <c r="J1919">
        <v>5</v>
      </c>
      <c r="K1919" t="s">
        <v>4</v>
      </c>
      <c r="L1919" t="s">
        <v>47</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2005</v>
      </c>
      <c r="B1920" t="s">
        <v>1</v>
      </c>
      <c r="C1920">
        <v>1</v>
      </c>
      <c r="D1920">
        <v>12.5</v>
      </c>
      <c r="E1920">
        <v>12.5</v>
      </c>
      <c r="F1920" s="1">
        <v>45728</v>
      </c>
      <c r="G1920" s="1">
        <v>45731</v>
      </c>
      <c r="H1920" t="s">
        <v>12</v>
      </c>
      <c r="I1920" t="s">
        <v>3</v>
      </c>
      <c r="J1920">
        <v>3</v>
      </c>
      <c r="K1920" t="s">
        <v>4</v>
      </c>
      <c r="L1920" t="s">
        <v>47</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2006</v>
      </c>
      <c r="B1921" t="s">
        <v>17</v>
      </c>
      <c r="C1921">
        <v>4</v>
      </c>
      <c r="D1921">
        <v>35.1</v>
      </c>
      <c r="E1921">
        <v>140.4</v>
      </c>
      <c r="F1921" s="1">
        <v>45728</v>
      </c>
      <c r="G1921" s="1">
        <v>45729</v>
      </c>
      <c r="H1921" t="s">
        <v>8</v>
      </c>
      <c r="I1921" t="s">
        <v>25</v>
      </c>
      <c r="J1921">
        <v>3</v>
      </c>
      <c r="K1921" t="s">
        <v>4</v>
      </c>
      <c r="L1921" t="s">
        <v>88</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2007</v>
      </c>
      <c r="B1922" t="s">
        <v>22</v>
      </c>
      <c r="C1922">
        <v>2</v>
      </c>
      <c r="D1922">
        <v>55.7</v>
      </c>
      <c r="E1922">
        <v>111.4</v>
      </c>
      <c r="F1922" s="1">
        <v>45728</v>
      </c>
      <c r="G1922" s="1">
        <v>45729</v>
      </c>
      <c r="H1922" t="s">
        <v>8</v>
      </c>
      <c r="I1922" t="s">
        <v>3</v>
      </c>
      <c r="J1922">
        <v>3</v>
      </c>
      <c r="K1922" t="s">
        <v>4</v>
      </c>
      <c r="L1922" t="s">
        <v>186</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2008</v>
      </c>
      <c r="B1923" t="s">
        <v>27</v>
      </c>
      <c r="C1923">
        <v>2</v>
      </c>
      <c r="D1923">
        <v>57.7</v>
      </c>
      <c r="E1923">
        <v>115.4</v>
      </c>
      <c r="F1923" s="1">
        <v>45728</v>
      </c>
      <c r="G1923" s="1">
        <v>45730</v>
      </c>
      <c r="H1923" t="s">
        <v>8</v>
      </c>
      <c r="I1923" t="s">
        <v>55</v>
      </c>
      <c r="J1923">
        <v>3</v>
      </c>
      <c r="K1923" t="s">
        <v>4</v>
      </c>
      <c r="L1923" t="s">
        <v>57</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2009</v>
      </c>
      <c r="B1924" t="s">
        <v>11</v>
      </c>
      <c r="C1924">
        <v>6</v>
      </c>
      <c r="D1924">
        <v>85.7</v>
      </c>
      <c r="E1924">
        <v>514.20000000000005</v>
      </c>
      <c r="F1924" s="1">
        <v>45728</v>
      </c>
      <c r="G1924" s="1">
        <v>45729</v>
      </c>
      <c r="H1924" t="s">
        <v>8</v>
      </c>
      <c r="I1924" t="s">
        <v>36</v>
      </c>
      <c r="J1924">
        <v>5</v>
      </c>
      <c r="K1924" t="s">
        <v>4</v>
      </c>
      <c r="L1924" t="s">
        <v>57</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2010</v>
      </c>
      <c r="B1925" t="s">
        <v>11</v>
      </c>
      <c r="C1925">
        <v>3</v>
      </c>
      <c r="D1925">
        <v>86.9</v>
      </c>
      <c r="E1925">
        <v>260.70000000000005</v>
      </c>
      <c r="F1925" s="1">
        <v>45728</v>
      </c>
      <c r="G1925" s="1">
        <v>45730</v>
      </c>
      <c r="H1925" t="s">
        <v>12</v>
      </c>
      <c r="I1925" t="s">
        <v>20</v>
      </c>
      <c r="J1925">
        <v>4</v>
      </c>
      <c r="K1925" t="s">
        <v>4</v>
      </c>
      <c r="L1925" t="s">
        <v>62</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2011</v>
      </c>
      <c r="B1926" t="s">
        <v>131</v>
      </c>
      <c r="C1926">
        <v>2</v>
      </c>
      <c r="D1926">
        <v>46.4</v>
      </c>
      <c r="E1926">
        <v>92.8</v>
      </c>
      <c r="F1926" s="1">
        <v>45728</v>
      </c>
      <c r="G1926" s="1">
        <v>45731</v>
      </c>
      <c r="H1926" t="s">
        <v>12</v>
      </c>
      <c r="I1926" t="s">
        <v>55</v>
      </c>
      <c r="J1926">
        <v>4</v>
      </c>
      <c r="K1926" t="s">
        <v>4</v>
      </c>
      <c r="L1926" t="s">
        <v>62</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2012</v>
      </c>
      <c r="B1927" t="s">
        <v>22</v>
      </c>
      <c r="C1927">
        <v>3</v>
      </c>
      <c r="D1927">
        <v>25.4</v>
      </c>
      <c r="E1927">
        <v>76.199999999999989</v>
      </c>
      <c r="F1927" s="1">
        <v>45728</v>
      </c>
      <c r="G1927" s="1">
        <v>45728</v>
      </c>
      <c r="H1927" t="s">
        <v>12</v>
      </c>
      <c r="I1927" t="s">
        <v>25</v>
      </c>
      <c r="J1927">
        <v>5</v>
      </c>
      <c r="K1927" t="s">
        <v>4</v>
      </c>
      <c r="L1927" t="s">
        <v>93</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2013</v>
      </c>
      <c r="B1928" t="s">
        <v>39</v>
      </c>
      <c r="C1928">
        <v>3</v>
      </c>
      <c r="D1928">
        <v>47.8</v>
      </c>
      <c r="E1928">
        <v>143.39999999999998</v>
      </c>
      <c r="F1928" s="1">
        <v>45728</v>
      </c>
      <c r="G1928" s="1">
        <v>45728</v>
      </c>
      <c r="H1928" t="s">
        <v>2</v>
      </c>
      <c r="I1928" t="s">
        <v>25</v>
      </c>
      <c r="J1928">
        <v>5</v>
      </c>
      <c r="K1928" t="s">
        <v>4</v>
      </c>
      <c r="L1928" t="s">
        <v>95</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2014</v>
      </c>
      <c r="B1929" t="s">
        <v>29</v>
      </c>
      <c r="C1929">
        <v>19</v>
      </c>
      <c r="D1929">
        <v>18.399999999999999</v>
      </c>
      <c r="E1929">
        <v>349.59999999999997</v>
      </c>
      <c r="F1929" s="1">
        <v>45728</v>
      </c>
      <c r="G1929" s="1">
        <v>45730</v>
      </c>
      <c r="H1929" t="s">
        <v>74</v>
      </c>
      <c r="I1929" t="s">
        <v>25</v>
      </c>
      <c r="J1929">
        <v>4</v>
      </c>
      <c r="K1929" t="s">
        <v>4</v>
      </c>
      <c r="L1929" t="s">
        <v>98</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2015</v>
      </c>
      <c r="B1930" t="s">
        <v>54</v>
      </c>
      <c r="C1930">
        <v>3</v>
      </c>
      <c r="D1930">
        <v>65.5</v>
      </c>
      <c r="E1930">
        <v>196.5</v>
      </c>
      <c r="F1930" s="1">
        <v>45728</v>
      </c>
      <c r="G1930" s="1">
        <v>45736</v>
      </c>
      <c r="H1930" t="s">
        <v>12</v>
      </c>
      <c r="I1930" t="s">
        <v>3</v>
      </c>
      <c r="J1930">
        <v>4</v>
      </c>
      <c r="K1930" t="s">
        <v>4</v>
      </c>
      <c r="L1930" t="s">
        <v>100</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2016</v>
      </c>
      <c r="B1931" t="s">
        <v>39</v>
      </c>
      <c r="C1931">
        <v>2</v>
      </c>
      <c r="D1931">
        <v>50.6</v>
      </c>
      <c r="E1931">
        <v>101.2</v>
      </c>
      <c r="F1931" s="1">
        <v>45728</v>
      </c>
      <c r="G1931" s="1">
        <v>45731</v>
      </c>
      <c r="H1931" t="s">
        <v>8</v>
      </c>
      <c r="I1931" t="s">
        <v>25</v>
      </c>
      <c r="J1931">
        <v>2</v>
      </c>
      <c r="K1931" t="s">
        <v>4</v>
      </c>
      <c r="L1931" t="s">
        <v>100</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2017</v>
      </c>
      <c r="B1932" t="s">
        <v>15</v>
      </c>
      <c r="C1932">
        <v>5</v>
      </c>
      <c r="D1932">
        <v>69</v>
      </c>
      <c r="E1932">
        <v>345</v>
      </c>
      <c r="F1932" s="1">
        <v>45728</v>
      </c>
      <c r="G1932" s="1">
        <v>45732</v>
      </c>
      <c r="H1932" t="s">
        <v>8</v>
      </c>
      <c r="I1932" t="s">
        <v>36</v>
      </c>
      <c r="J1932">
        <v>4</v>
      </c>
      <c r="K1932" t="s">
        <v>4</v>
      </c>
      <c r="L1932" t="s">
        <v>100</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2018</v>
      </c>
      <c r="B1933" t="s">
        <v>31</v>
      </c>
      <c r="C1933">
        <v>8</v>
      </c>
      <c r="D1933">
        <v>51.1</v>
      </c>
      <c r="E1933">
        <v>408.8</v>
      </c>
      <c r="F1933" s="1">
        <v>45728</v>
      </c>
      <c r="G1933" s="1">
        <v>45730</v>
      </c>
      <c r="H1933" t="s">
        <v>12</v>
      </c>
      <c r="I1933" t="s">
        <v>3</v>
      </c>
      <c r="J1933">
        <v>4</v>
      </c>
      <c r="K1933" t="s">
        <v>4</v>
      </c>
      <c r="L1933" t="s">
        <v>9</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2019</v>
      </c>
      <c r="B1934" t="s">
        <v>31</v>
      </c>
      <c r="C1934">
        <v>1</v>
      </c>
      <c r="D1934">
        <v>36.1</v>
      </c>
      <c r="E1934">
        <v>36.1</v>
      </c>
      <c r="F1934" s="1">
        <v>45728</v>
      </c>
      <c r="G1934" s="1">
        <v>45729</v>
      </c>
      <c r="H1934" t="s">
        <v>12</v>
      </c>
      <c r="I1934" t="s">
        <v>3</v>
      </c>
      <c r="J1934">
        <v>5</v>
      </c>
      <c r="K1934" t="s">
        <v>4</v>
      </c>
      <c r="L1934" t="s">
        <v>319</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2020</v>
      </c>
      <c r="B1935" t="s">
        <v>66</v>
      </c>
      <c r="C1935">
        <v>1</v>
      </c>
      <c r="D1935">
        <v>18.7</v>
      </c>
      <c r="E1935">
        <v>18.7</v>
      </c>
      <c r="F1935" s="1">
        <v>45728</v>
      </c>
      <c r="G1935" s="1">
        <v>45729</v>
      </c>
      <c r="H1935" t="s">
        <v>8</v>
      </c>
      <c r="I1935" t="s">
        <v>3</v>
      </c>
      <c r="J1935">
        <v>4</v>
      </c>
      <c r="K1935" t="s">
        <v>4</v>
      </c>
      <c r="L1935" t="s">
        <v>18</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2021</v>
      </c>
      <c r="B1936" t="s">
        <v>120</v>
      </c>
      <c r="C1936">
        <v>1</v>
      </c>
      <c r="D1936">
        <v>30.1</v>
      </c>
      <c r="E1936">
        <v>30.1</v>
      </c>
      <c r="F1936" s="1">
        <v>45728</v>
      </c>
      <c r="G1936" s="1">
        <v>45731</v>
      </c>
      <c r="H1936" t="s">
        <v>12</v>
      </c>
      <c r="I1936" t="s">
        <v>36</v>
      </c>
      <c r="J1936">
        <v>3</v>
      </c>
      <c r="K1936" t="s">
        <v>4</v>
      </c>
      <c r="L1936" t="s">
        <v>18</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2022</v>
      </c>
      <c r="B1937" t="s">
        <v>29</v>
      </c>
      <c r="C1937">
        <v>1</v>
      </c>
      <c r="D1937">
        <v>16.3</v>
      </c>
      <c r="E1937">
        <v>16.3</v>
      </c>
      <c r="F1937" s="1">
        <v>45728</v>
      </c>
      <c r="G1937" s="1">
        <v>45729</v>
      </c>
      <c r="H1937" t="s">
        <v>8</v>
      </c>
      <c r="I1937" t="s">
        <v>36</v>
      </c>
      <c r="J1937">
        <v>4</v>
      </c>
      <c r="K1937" t="s">
        <v>4</v>
      </c>
      <c r="L1937" t="s">
        <v>18</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2023</v>
      </c>
      <c r="B1938" t="s">
        <v>7</v>
      </c>
      <c r="C1938">
        <v>3</v>
      </c>
      <c r="D1938">
        <v>63.8</v>
      </c>
      <c r="E1938">
        <v>191.39999999999998</v>
      </c>
      <c r="F1938" s="1">
        <v>45728</v>
      </c>
      <c r="G1938" s="1">
        <v>45733</v>
      </c>
      <c r="H1938" t="s">
        <v>12</v>
      </c>
      <c r="I1938" t="s">
        <v>25</v>
      </c>
      <c r="J1938">
        <v>3</v>
      </c>
      <c r="K1938" t="s">
        <v>4</v>
      </c>
      <c r="L1938" t="s">
        <v>18</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2024</v>
      </c>
      <c r="B1939" t="s">
        <v>7</v>
      </c>
      <c r="C1939">
        <v>7</v>
      </c>
      <c r="D1939">
        <v>73.900000000000006</v>
      </c>
      <c r="E1939">
        <v>517.30000000000007</v>
      </c>
      <c r="F1939" s="1">
        <v>45728</v>
      </c>
      <c r="G1939" s="1">
        <v>45728</v>
      </c>
      <c r="H1939" t="s">
        <v>12</v>
      </c>
      <c r="I1939" t="s">
        <v>3</v>
      </c>
      <c r="J1939">
        <v>3</v>
      </c>
      <c r="K1939" t="s">
        <v>4</v>
      </c>
      <c r="L1939" t="s">
        <v>18</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2025</v>
      </c>
      <c r="B1940" t="s">
        <v>1</v>
      </c>
      <c r="C1940">
        <v>2</v>
      </c>
      <c r="D1940">
        <v>20.2</v>
      </c>
      <c r="E1940">
        <v>40.4</v>
      </c>
      <c r="F1940" s="1">
        <v>45728</v>
      </c>
      <c r="G1940" s="1">
        <v>45729</v>
      </c>
      <c r="H1940" t="s">
        <v>8</v>
      </c>
      <c r="I1940" t="s">
        <v>3</v>
      </c>
      <c r="J1940">
        <v>3</v>
      </c>
      <c r="K1940" t="s">
        <v>4</v>
      </c>
      <c r="L1940" t="s">
        <v>18</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2026</v>
      </c>
      <c r="B1941" t="s">
        <v>52</v>
      </c>
      <c r="C1941">
        <v>11</v>
      </c>
      <c r="D1941">
        <v>29.5</v>
      </c>
      <c r="E1941">
        <v>324.5</v>
      </c>
      <c r="F1941" s="1">
        <v>45728</v>
      </c>
      <c r="G1941" s="1">
        <v>45729</v>
      </c>
      <c r="H1941" t="s">
        <v>8</v>
      </c>
      <c r="I1941" t="s">
        <v>3</v>
      </c>
      <c r="J1941">
        <v>4</v>
      </c>
      <c r="K1941" t="s">
        <v>4</v>
      </c>
      <c r="L1941" t="s">
        <v>18</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2027</v>
      </c>
      <c r="B1942" t="s">
        <v>108</v>
      </c>
      <c r="C1942">
        <v>7</v>
      </c>
      <c r="D1942">
        <v>37.9</v>
      </c>
      <c r="E1942">
        <v>265.3</v>
      </c>
      <c r="F1942" s="1">
        <v>45728</v>
      </c>
      <c r="G1942" s="1">
        <v>45729</v>
      </c>
      <c r="H1942" t="s">
        <v>8</v>
      </c>
      <c r="I1942" t="s">
        <v>20</v>
      </c>
      <c r="J1942">
        <v>4</v>
      </c>
      <c r="K1942" t="s">
        <v>4</v>
      </c>
      <c r="L1942" t="s">
        <v>18</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2028</v>
      </c>
      <c r="B1943" t="s">
        <v>11</v>
      </c>
      <c r="C1943">
        <v>1</v>
      </c>
      <c r="D1943">
        <v>56.5</v>
      </c>
      <c r="E1943">
        <v>56.5</v>
      </c>
      <c r="F1943" s="1">
        <v>45728</v>
      </c>
      <c r="G1943" s="1">
        <v>45729</v>
      </c>
      <c r="H1943" t="s">
        <v>12</v>
      </c>
      <c r="I1943" t="s">
        <v>25</v>
      </c>
      <c r="J1943">
        <v>3</v>
      </c>
      <c r="K1943" t="s">
        <v>4</v>
      </c>
      <c r="L1943" t="s">
        <v>18</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2029</v>
      </c>
      <c r="B1944" t="s">
        <v>11</v>
      </c>
      <c r="C1944">
        <v>2</v>
      </c>
      <c r="D1944">
        <v>66.900000000000006</v>
      </c>
      <c r="E1944">
        <v>133.80000000000001</v>
      </c>
      <c r="F1944" s="1">
        <v>45728</v>
      </c>
      <c r="G1944" s="1">
        <v>45734</v>
      </c>
      <c r="H1944" t="s">
        <v>8</v>
      </c>
      <c r="I1944" t="s">
        <v>20</v>
      </c>
      <c r="J1944">
        <v>2</v>
      </c>
      <c r="K1944" t="s">
        <v>4</v>
      </c>
      <c r="L1944" t="s">
        <v>173</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2030</v>
      </c>
      <c r="B1945" t="s">
        <v>11</v>
      </c>
      <c r="C1945">
        <v>5</v>
      </c>
      <c r="D1945">
        <v>51.9</v>
      </c>
      <c r="E1945">
        <v>259.5</v>
      </c>
      <c r="F1945" s="1">
        <v>45728</v>
      </c>
      <c r="G1945" s="1">
        <v>45731</v>
      </c>
      <c r="H1945" t="s">
        <v>8</v>
      </c>
      <c r="I1945" t="s">
        <v>20</v>
      </c>
      <c r="J1945">
        <v>4</v>
      </c>
      <c r="K1945" t="s">
        <v>4</v>
      </c>
      <c r="L1945" t="s">
        <v>44</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2031</v>
      </c>
      <c r="B1946" t="s">
        <v>11</v>
      </c>
      <c r="C1946">
        <v>2</v>
      </c>
      <c r="D1946">
        <v>75.599999999999994</v>
      </c>
      <c r="E1946">
        <v>151.19999999999999</v>
      </c>
      <c r="F1946" s="1">
        <v>45728</v>
      </c>
      <c r="G1946" s="1">
        <v>45731</v>
      </c>
      <c r="H1946" t="s">
        <v>8</v>
      </c>
      <c r="I1946" t="s">
        <v>20</v>
      </c>
      <c r="J1946">
        <v>4</v>
      </c>
      <c r="K1946" t="s">
        <v>4</v>
      </c>
      <c r="L1946" t="s">
        <v>47</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2032</v>
      </c>
      <c r="B1947" t="s">
        <v>54</v>
      </c>
      <c r="C1947">
        <v>6</v>
      </c>
      <c r="D1947">
        <v>47.3</v>
      </c>
      <c r="E1947">
        <v>283.79999999999995</v>
      </c>
      <c r="F1947" s="1">
        <v>45728</v>
      </c>
      <c r="G1947" s="1">
        <v>45739</v>
      </c>
      <c r="H1947" t="s">
        <v>8</v>
      </c>
      <c r="I1947" t="s">
        <v>3</v>
      </c>
      <c r="J1947">
        <v>4</v>
      </c>
      <c r="K1947" t="s">
        <v>4</v>
      </c>
      <c r="L1947" t="s">
        <v>47</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2033</v>
      </c>
      <c r="B1948" t="s">
        <v>17</v>
      </c>
      <c r="C1948">
        <v>1</v>
      </c>
      <c r="D1948">
        <v>20.6</v>
      </c>
      <c r="E1948">
        <v>20.6</v>
      </c>
      <c r="F1948" s="1">
        <v>45728</v>
      </c>
      <c r="G1948" s="1">
        <v>45729</v>
      </c>
      <c r="H1948" t="s">
        <v>2</v>
      </c>
      <c r="I1948" t="s">
        <v>3</v>
      </c>
      <c r="J1948">
        <v>3</v>
      </c>
      <c r="K1948" t="s">
        <v>4</v>
      </c>
      <c r="L1948" t="s">
        <v>47</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2034</v>
      </c>
      <c r="B1949" t="s">
        <v>24</v>
      </c>
      <c r="C1949">
        <v>3</v>
      </c>
      <c r="D1949">
        <v>49.7</v>
      </c>
      <c r="E1949">
        <v>149.10000000000002</v>
      </c>
      <c r="F1949" s="1">
        <v>45728</v>
      </c>
      <c r="G1949" s="1">
        <v>45730</v>
      </c>
      <c r="H1949" t="s">
        <v>8</v>
      </c>
      <c r="I1949" t="s">
        <v>3</v>
      </c>
      <c r="J1949">
        <v>3</v>
      </c>
      <c r="K1949" t="s">
        <v>4</v>
      </c>
      <c r="L1949" t="s">
        <v>47</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2035</v>
      </c>
      <c r="B1950" t="s">
        <v>15</v>
      </c>
      <c r="C1950">
        <v>1</v>
      </c>
      <c r="D1950">
        <v>37.9</v>
      </c>
      <c r="E1950">
        <v>37.9</v>
      </c>
      <c r="F1950" s="1">
        <v>45728</v>
      </c>
      <c r="G1950" s="1">
        <v>45730</v>
      </c>
      <c r="H1950" t="s">
        <v>12</v>
      </c>
      <c r="I1950" t="s">
        <v>3</v>
      </c>
      <c r="J1950">
        <v>4</v>
      </c>
      <c r="K1950" t="s">
        <v>4</v>
      </c>
      <c r="L1950" t="s">
        <v>47</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2036</v>
      </c>
      <c r="B1951" t="s">
        <v>61</v>
      </c>
      <c r="C1951">
        <v>15</v>
      </c>
      <c r="D1951">
        <v>32</v>
      </c>
      <c r="E1951">
        <v>480</v>
      </c>
      <c r="F1951" s="1">
        <v>45728</v>
      </c>
      <c r="G1951" s="1">
        <v>45730</v>
      </c>
      <c r="H1951" t="s">
        <v>12</v>
      </c>
      <c r="I1951" t="s">
        <v>55</v>
      </c>
      <c r="J1951">
        <v>4</v>
      </c>
      <c r="K1951" t="s">
        <v>4</v>
      </c>
      <c r="L1951" t="s">
        <v>62</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2037</v>
      </c>
      <c r="B1952" t="s">
        <v>39</v>
      </c>
      <c r="C1952">
        <v>18</v>
      </c>
      <c r="D1952">
        <v>38.5</v>
      </c>
      <c r="E1952">
        <v>693</v>
      </c>
      <c r="F1952" s="1">
        <v>45729</v>
      </c>
      <c r="G1952" s="1">
        <v>45730</v>
      </c>
      <c r="H1952" t="s">
        <v>8</v>
      </c>
      <c r="I1952" t="s">
        <v>3</v>
      </c>
      <c r="J1952">
        <v>5</v>
      </c>
      <c r="K1952" t="s">
        <v>4</v>
      </c>
      <c r="L1952" t="s">
        <v>62</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2038</v>
      </c>
      <c r="B1953" t="s">
        <v>1</v>
      </c>
      <c r="C1953">
        <v>4</v>
      </c>
      <c r="D1953">
        <v>11.7</v>
      </c>
      <c r="E1953">
        <v>46.8</v>
      </c>
      <c r="F1953" s="1">
        <v>45729</v>
      </c>
      <c r="G1953" s="1">
        <v>45731</v>
      </c>
      <c r="H1953" t="s">
        <v>12</v>
      </c>
      <c r="I1953" t="s">
        <v>20</v>
      </c>
      <c r="J1953">
        <v>4</v>
      </c>
      <c r="K1953" t="s">
        <v>4</v>
      </c>
      <c r="L1953" t="s">
        <v>98</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2039</v>
      </c>
      <c r="B1954" t="s">
        <v>15</v>
      </c>
      <c r="C1954">
        <v>6</v>
      </c>
      <c r="D1954">
        <v>83.8</v>
      </c>
      <c r="E1954">
        <v>502.79999999999995</v>
      </c>
      <c r="F1954" s="1">
        <v>45729</v>
      </c>
      <c r="G1954" s="1">
        <v>45730</v>
      </c>
      <c r="H1954" t="s">
        <v>8</v>
      </c>
      <c r="I1954" t="s">
        <v>3</v>
      </c>
      <c r="J1954">
        <v>4</v>
      </c>
      <c r="K1954" t="s">
        <v>4</v>
      </c>
      <c r="L1954" t="s">
        <v>100</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2040</v>
      </c>
      <c r="B1955" t="s">
        <v>1</v>
      </c>
      <c r="C1955">
        <v>7</v>
      </c>
      <c r="D1955">
        <v>14</v>
      </c>
      <c r="E1955">
        <v>98</v>
      </c>
      <c r="F1955" s="1">
        <v>45729</v>
      </c>
      <c r="G1955" s="1">
        <v>45732</v>
      </c>
      <c r="H1955" t="s">
        <v>8</v>
      </c>
      <c r="I1955" t="s">
        <v>3</v>
      </c>
      <c r="J1955">
        <v>3</v>
      </c>
      <c r="K1955" t="s">
        <v>4</v>
      </c>
      <c r="L1955" t="s">
        <v>132</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2041</v>
      </c>
      <c r="B1956" t="s">
        <v>113</v>
      </c>
      <c r="C1956">
        <v>4</v>
      </c>
      <c r="D1956">
        <v>77.3</v>
      </c>
      <c r="E1956">
        <v>309.2</v>
      </c>
      <c r="F1956" s="1">
        <v>45729</v>
      </c>
      <c r="G1956" s="1">
        <v>45731</v>
      </c>
      <c r="H1956" t="s">
        <v>12</v>
      </c>
      <c r="I1956" t="s">
        <v>55</v>
      </c>
      <c r="J1956">
        <v>5</v>
      </c>
      <c r="K1956" t="s">
        <v>4</v>
      </c>
      <c r="L1956" t="s">
        <v>18</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2042</v>
      </c>
      <c r="B1957" t="s">
        <v>11</v>
      </c>
      <c r="C1957">
        <v>2</v>
      </c>
      <c r="D1957">
        <v>76.900000000000006</v>
      </c>
      <c r="E1957">
        <v>153.80000000000001</v>
      </c>
      <c r="F1957" s="1">
        <v>45729</v>
      </c>
      <c r="G1957" s="1">
        <v>45733</v>
      </c>
      <c r="H1957" t="s">
        <v>12</v>
      </c>
      <c r="I1957" t="s">
        <v>3</v>
      </c>
      <c r="J1957">
        <v>3</v>
      </c>
      <c r="K1957" t="s">
        <v>4</v>
      </c>
      <c r="L1957" t="s">
        <v>18</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2043</v>
      </c>
      <c r="B1958" t="s">
        <v>7</v>
      </c>
      <c r="C1958">
        <v>1</v>
      </c>
      <c r="D1958">
        <v>48</v>
      </c>
      <c r="E1958">
        <v>48</v>
      </c>
      <c r="F1958" s="1">
        <v>45729</v>
      </c>
      <c r="G1958" s="1">
        <v>45731</v>
      </c>
      <c r="H1958" t="s">
        <v>12</v>
      </c>
      <c r="I1958" t="s">
        <v>20</v>
      </c>
      <c r="J1958">
        <v>5</v>
      </c>
      <c r="K1958" t="s">
        <v>4</v>
      </c>
      <c r="L1958" t="s">
        <v>18</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2044</v>
      </c>
      <c r="B1959" t="s">
        <v>11</v>
      </c>
      <c r="C1959">
        <v>1</v>
      </c>
      <c r="D1959">
        <v>94.5</v>
      </c>
      <c r="E1959">
        <v>94.5</v>
      </c>
      <c r="F1959" s="1">
        <v>45729</v>
      </c>
      <c r="G1959" s="1">
        <v>45732</v>
      </c>
      <c r="H1959" t="s">
        <v>8</v>
      </c>
      <c r="I1959" t="s">
        <v>20</v>
      </c>
      <c r="J1959">
        <v>3</v>
      </c>
      <c r="K1959" t="s">
        <v>4</v>
      </c>
      <c r="L1959" t="s">
        <v>18</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2045</v>
      </c>
      <c r="B1960" t="s">
        <v>39</v>
      </c>
      <c r="C1960">
        <v>3</v>
      </c>
      <c r="D1960">
        <v>58.4</v>
      </c>
      <c r="E1960">
        <v>175.2</v>
      </c>
      <c r="F1960" s="1">
        <v>45729</v>
      </c>
      <c r="G1960" s="1">
        <v>45731</v>
      </c>
      <c r="H1960" t="s">
        <v>12</v>
      </c>
      <c r="I1960" t="s">
        <v>20</v>
      </c>
      <c r="J1960">
        <v>5</v>
      </c>
      <c r="K1960" t="s">
        <v>4</v>
      </c>
      <c r="L1960" t="s">
        <v>18</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2046</v>
      </c>
      <c r="B1961" t="s">
        <v>27</v>
      </c>
      <c r="C1961">
        <v>13</v>
      </c>
      <c r="D1961">
        <v>42.2</v>
      </c>
      <c r="E1961">
        <v>548.6</v>
      </c>
      <c r="F1961" s="1">
        <v>45729</v>
      </c>
      <c r="G1961" s="1">
        <v>45729</v>
      </c>
      <c r="H1961" t="s">
        <v>8</v>
      </c>
      <c r="I1961" t="s">
        <v>3</v>
      </c>
      <c r="J1961">
        <v>4</v>
      </c>
      <c r="K1961" t="s">
        <v>4</v>
      </c>
      <c r="L1961" t="s">
        <v>173</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2047</v>
      </c>
      <c r="B1962" t="s">
        <v>24</v>
      </c>
      <c r="C1962">
        <v>2</v>
      </c>
      <c r="D1962">
        <v>152.19999999999999</v>
      </c>
      <c r="E1962">
        <v>304.39999999999998</v>
      </c>
      <c r="F1962" s="1">
        <v>45729</v>
      </c>
      <c r="G1962" s="1">
        <v>45730</v>
      </c>
      <c r="H1962" t="s">
        <v>8</v>
      </c>
      <c r="I1962" t="s">
        <v>55</v>
      </c>
      <c r="J1962">
        <v>3</v>
      </c>
      <c r="K1962" t="s">
        <v>4</v>
      </c>
      <c r="L1962" t="s">
        <v>173</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2048</v>
      </c>
      <c r="B1963" t="s">
        <v>24</v>
      </c>
      <c r="C1963">
        <v>24</v>
      </c>
      <c r="D1963">
        <v>72</v>
      </c>
      <c r="E1963">
        <v>1728</v>
      </c>
      <c r="F1963" s="1">
        <v>45729</v>
      </c>
      <c r="G1963" s="1">
        <v>45730</v>
      </c>
      <c r="H1963" t="s">
        <v>8</v>
      </c>
      <c r="I1963" t="s">
        <v>3</v>
      </c>
      <c r="J1963">
        <v>3</v>
      </c>
      <c r="K1963" t="s">
        <v>4</v>
      </c>
      <c r="L1963" t="s">
        <v>40</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2049</v>
      </c>
      <c r="B1964" t="s">
        <v>7</v>
      </c>
      <c r="C1964">
        <v>23</v>
      </c>
      <c r="D1964">
        <v>70.900000000000006</v>
      </c>
      <c r="E1964">
        <v>1630.7</v>
      </c>
      <c r="F1964" s="1">
        <v>45729</v>
      </c>
      <c r="G1964" s="1">
        <v>45730</v>
      </c>
      <c r="H1964" t="s">
        <v>12</v>
      </c>
      <c r="I1964" t="s">
        <v>25</v>
      </c>
      <c r="J1964">
        <v>4</v>
      </c>
      <c r="K1964" t="s">
        <v>4</v>
      </c>
      <c r="L1964" t="s">
        <v>47</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2050</v>
      </c>
      <c r="B1965" t="s">
        <v>11</v>
      </c>
      <c r="C1965">
        <v>2</v>
      </c>
      <c r="D1965">
        <v>53.7</v>
      </c>
      <c r="E1965">
        <v>107.4</v>
      </c>
      <c r="F1965" s="1">
        <v>45729</v>
      </c>
      <c r="G1965" s="1">
        <v>45730</v>
      </c>
      <c r="H1965" t="s">
        <v>8</v>
      </c>
      <c r="I1965" t="s">
        <v>25</v>
      </c>
      <c r="J1965">
        <v>5</v>
      </c>
      <c r="K1965" t="s">
        <v>4</v>
      </c>
      <c r="L1965" t="s">
        <v>47</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2051</v>
      </c>
      <c r="B1966" t="s">
        <v>31</v>
      </c>
      <c r="C1966">
        <v>4</v>
      </c>
      <c r="D1966">
        <v>42.9</v>
      </c>
      <c r="E1966">
        <v>171.6</v>
      </c>
      <c r="F1966" s="1">
        <v>45729</v>
      </c>
      <c r="G1966" s="1">
        <v>45730</v>
      </c>
      <c r="H1966" t="s">
        <v>12</v>
      </c>
      <c r="I1966" t="s">
        <v>25</v>
      </c>
      <c r="J1966">
        <v>2</v>
      </c>
      <c r="K1966" t="s">
        <v>4</v>
      </c>
      <c r="L1966" t="s">
        <v>57</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2052</v>
      </c>
      <c r="B1967" t="s">
        <v>11</v>
      </c>
      <c r="C1967">
        <v>7</v>
      </c>
      <c r="D1967">
        <v>107.5</v>
      </c>
      <c r="E1967">
        <v>752.5</v>
      </c>
      <c r="F1967" s="1">
        <v>45729</v>
      </c>
      <c r="G1967" s="1">
        <v>45730</v>
      </c>
      <c r="H1967" t="s">
        <v>8</v>
      </c>
      <c r="I1967" t="s">
        <v>20</v>
      </c>
      <c r="J1967">
        <v>4</v>
      </c>
      <c r="K1967" t="s">
        <v>4</v>
      </c>
      <c r="L1967" t="s">
        <v>62</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2053</v>
      </c>
      <c r="B1968" t="s">
        <v>120</v>
      </c>
      <c r="C1968">
        <v>16</v>
      </c>
      <c r="D1968">
        <v>21.5</v>
      </c>
      <c r="E1968">
        <v>344</v>
      </c>
      <c r="F1968" s="1">
        <v>45729</v>
      </c>
      <c r="G1968" s="1">
        <v>45730</v>
      </c>
      <c r="H1968" t="s">
        <v>8</v>
      </c>
      <c r="I1968" t="s">
        <v>20</v>
      </c>
      <c r="J1968">
        <v>3</v>
      </c>
      <c r="K1968" t="s">
        <v>4</v>
      </c>
      <c r="L1968" t="s">
        <v>294</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2054</v>
      </c>
      <c r="B1969" t="s">
        <v>15</v>
      </c>
      <c r="C1969">
        <v>5</v>
      </c>
      <c r="D1969">
        <v>85.3</v>
      </c>
      <c r="E1969">
        <v>426.5</v>
      </c>
      <c r="F1969" s="1">
        <v>45729</v>
      </c>
      <c r="G1969" s="1">
        <v>45731</v>
      </c>
      <c r="H1969" t="s">
        <v>12</v>
      </c>
      <c r="I1969" t="s">
        <v>36</v>
      </c>
      <c r="J1969">
        <v>4</v>
      </c>
      <c r="K1969" t="s">
        <v>4</v>
      </c>
      <c r="L1969" t="s">
        <v>93</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2055</v>
      </c>
      <c r="B1970" t="s">
        <v>27</v>
      </c>
      <c r="C1970">
        <v>5</v>
      </c>
      <c r="D1970">
        <v>80.8</v>
      </c>
      <c r="E1970">
        <v>404</v>
      </c>
      <c r="F1970" s="1">
        <v>45729</v>
      </c>
      <c r="G1970" s="1">
        <v>45737</v>
      </c>
      <c r="H1970" t="s">
        <v>74</v>
      </c>
      <c r="I1970" t="s">
        <v>20</v>
      </c>
      <c r="J1970">
        <v>3</v>
      </c>
      <c r="K1970" t="s">
        <v>4</v>
      </c>
      <c r="L1970" t="s">
        <v>95</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2056</v>
      </c>
      <c r="B1971" t="s">
        <v>11</v>
      </c>
      <c r="C1971">
        <v>3</v>
      </c>
      <c r="D1971">
        <v>123.1</v>
      </c>
      <c r="E1971">
        <v>369.29999999999995</v>
      </c>
      <c r="F1971" s="1">
        <v>45729</v>
      </c>
      <c r="G1971" s="1">
        <v>45731</v>
      </c>
      <c r="H1971" t="s">
        <v>2</v>
      </c>
      <c r="I1971" t="s">
        <v>25</v>
      </c>
      <c r="J1971">
        <v>4</v>
      </c>
      <c r="K1971" t="s">
        <v>4</v>
      </c>
      <c r="L1971" t="s">
        <v>100</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2057</v>
      </c>
      <c r="B1972" t="s">
        <v>29</v>
      </c>
      <c r="C1972">
        <v>2</v>
      </c>
      <c r="D1972">
        <v>36.9</v>
      </c>
      <c r="E1972">
        <v>73.8</v>
      </c>
      <c r="F1972" s="1">
        <v>45729</v>
      </c>
      <c r="G1972" s="1">
        <v>45731</v>
      </c>
      <c r="H1972" t="s">
        <v>12</v>
      </c>
      <c r="I1972" t="s">
        <v>25</v>
      </c>
      <c r="J1972">
        <v>2</v>
      </c>
      <c r="K1972" t="s">
        <v>4</v>
      </c>
      <c r="L1972" t="s">
        <v>952</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2058</v>
      </c>
      <c r="B1973" t="s">
        <v>52</v>
      </c>
      <c r="C1973">
        <v>5</v>
      </c>
      <c r="D1973">
        <v>40</v>
      </c>
      <c r="E1973">
        <v>200</v>
      </c>
      <c r="F1973" s="1">
        <v>45729</v>
      </c>
      <c r="G1973" s="1">
        <v>45730</v>
      </c>
      <c r="H1973" t="s">
        <v>8</v>
      </c>
      <c r="I1973" t="s">
        <v>3</v>
      </c>
      <c r="J1973">
        <v>4</v>
      </c>
      <c r="K1973" t="s">
        <v>4</v>
      </c>
      <c r="L1973" t="s">
        <v>9</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2059</v>
      </c>
      <c r="B1974" t="s">
        <v>24</v>
      </c>
      <c r="C1974">
        <v>3</v>
      </c>
      <c r="D1974">
        <v>55.5</v>
      </c>
      <c r="E1974">
        <v>166.5</v>
      </c>
      <c r="F1974" s="1">
        <v>45729</v>
      </c>
      <c r="G1974" s="1">
        <v>45730</v>
      </c>
      <c r="H1974" t="s">
        <v>8</v>
      </c>
      <c r="I1974" t="s">
        <v>55</v>
      </c>
      <c r="J1974">
        <v>5</v>
      </c>
      <c r="K1974" t="s">
        <v>4</v>
      </c>
      <c r="L1974" t="s">
        <v>9</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2060</v>
      </c>
      <c r="B1975" t="s">
        <v>1</v>
      </c>
      <c r="C1975">
        <v>4</v>
      </c>
      <c r="D1975">
        <v>20.5</v>
      </c>
      <c r="E1975">
        <v>82</v>
      </c>
      <c r="F1975" s="1">
        <v>45729</v>
      </c>
      <c r="G1975" s="1">
        <v>45733</v>
      </c>
      <c r="H1975" t="s">
        <v>12</v>
      </c>
      <c r="I1975" t="s">
        <v>55</v>
      </c>
      <c r="J1975">
        <v>4</v>
      </c>
      <c r="K1975" t="s">
        <v>4</v>
      </c>
      <c r="L1975" t="s">
        <v>9</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2061</v>
      </c>
      <c r="B1976" t="s">
        <v>131</v>
      </c>
      <c r="C1976">
        <v>4</v>
      </c>
      <c r="D1976">
        <v>50.1</v>
      </c>
      <c r="E1976">
        <v>200.4</v>
      </c>
      <c r="F1976" s="1">
        <v>45729</v>
      </c>
      <c r="G1976" s="1">
        <v>45730</v>
      </c>
      <c r="H1976" t="s">
        <v>12</v>
      </c>
      <c r="I1976" t="s">
        <v>55</v>
      </c>
      <c r="J1976">
        <v>4</v>
      </c>
      <c r="K1976" t="s">
        <v>4</v>
      </c>
      <c r="L1976" t="s">
        <v>9</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2062</v>
      </c>
      <c r="B1977" t="s">
        <v>31</v>
      </c>
      <c r="C1977">
        <v>1</v>
      </c>
      <c r="D1977">
        <v>35.9</v>
      </c>
      <c r="E1977">
        <v>35.9</v>
      </c>
      <c r="F1977" s="1">
        <v>45729</v>
      </c>
      <c r="G1977" s="1">
        <v>45731</v>
      </c>
      <c r="H1977" t="s">
        <v>8</v>
      </c>
      <c r="I1977" t="s">
        <v>20</v>
      </c>
      <c r="J1977">
        <v>5</v>
      </c>
      <c r="K1977" t="s">
        <v>4</v>
      </c>
      <c r="L1977" t="s">
        <v>9</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2063</v>
      </c>
      <c r="B1978" t="s">
        <v>61</v>
      </c>
      <c r="C1978">
        <v>4</v>
      </c>
      <c r="D1978">
        <v>29.4</v>
      </c>
      <c r="E1978">
        <v>117.6</v>
      </c>
      <c r="F1978" s="1">
        <v>45730</v>
      </c>
      <c r="G1978" s="1">
        <v>45731</v>
      </c>
      <c r="H1978" t="s">
        <v>8</v>
      </c>
      <c r="I1978" t="s">
        <v>25</v>
      </c>
      <c r="J1978">
        <v>5</v>
      </c>
      <c r="K1978" t="s">
        <v>4</v>
      </c>
      <c r="L1978" t="s">
        <v>316</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2064</v>
      </c>
      <c r="B1979" t="s">
        <v>29</v>
      </c>
      <c r="C1979">
        <v>5</v>
      </c>
      <c r="D1979">
        <v>29.1</v>
      </c>
      <c r="E1979">
        <v>145.5</v>
      </c>
      <c r="F1979" s="1">
        <v>45730</v>
      </c>
      <c r="G1979" s="1">
        <v>45738</v>
      </c>
      <c r="H1979" t="s">
        <v>74</v>
      </c>
      <c r="I1979" t="s">
        <v>25</v>
      </c>
      <c r="J1979">
        <v>3</v>
      </c>
      <c r="K1979" t="s">
        <v>4</v>
      </c>
      <c r="L1979" t="s">
        <v>316</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2065</v>
      </c>
      <c r="B1980" t="s">
        <v>29</v>
      </c>
      <c r="C1980">
        <v>3</v>
      </c>
      <c r="D1980">
        <v>33.5</v>
      </c>
      <c r="E1980">
        <v>100.5</v>
      </c>
      <c r="F1980" s="1">
        <v>45730</v>
      </c>
      <c r="G1980" s="1">
        <v>45742</v>
      </c>
      <c r="H1980" t="s">
        <v>8</v>
      </c>
      <c r="I1980" t="s">
        <v>3</v>
      </c>
      <c r="J1980">
        <v>5</v>
      </c>
      <c r="K1980" t="s">
        <v>4</v>
      </c>
      <c r="L1980" t="s">
        <v>132</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2066</v>
      </c>
      <c r="B1981" t="s">
        <v>17</v>
      </c>
      <c r="C1981">
        <v>10</v>
      </c>
      <c r="D1981">
        <v>36</v>
      </c>
      <c r="E1981">
        <v>360</v>
      </c>
      <c r="F1981" s="1">
        <v>45730</v>
      </c>
      <c r="G1981" s="1">
        <v>45730</v>
      </c>
      <c r="H1981" t="s">
        <v>8</v>
      </c>
      <c r="I1981" t="s">
        <v>36</v>
      </c>
      <c r="J1981">
        <v>5</v>
      </c>
      <c r="K1981" t="s">
        <v>4</v>
      </c>
      <c r="L1981" t="s">
        <v>18</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2067</v>
      </c>
      <c r="B1982" t="s">
        <v>113</v>
      </c>
      <c r="C1982">
        <v>3</v>
      </c>
      <c r="D1982">
        <v>57.3</v>
      </c>
      <c r="E1982">
        <v>171.89999999999998</v>
      </c>
      <c r="F1982" s="1">
        <v>45730</v>
      </c>
      <c r="G1982" s="1">
        <v>45734</v>
      </c>
      <c r="H1982" t="s">
        <v>12</v>
      </c>
      <c r="I1982" t="s">
        <v>3</v>
      </c>
      <c r="J1982">
        <v>5</v>
      </c>
      <c r="K1982" t="s">
        <v>4</v>
      </c>
      <c r="L1982" t="s">
        <v>18</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2068</v>
      </c>
      <c r="B1983" t="s">
        <v>7</v>
      </c>
      <c r="C1983">
        <v>1</v>
      </c>
      <c r="D1983">
        <v>81.400000000000006</v>
      </c>
      <c r="E1983">
        <v>81.400000000000006</v>
      </c>
      <c r="F1983" s="1">
        <v>45730</v>
      </c>
      <c r="G1983" s="1">
        <v>45731</v>
      </c>
      <c r="H1983" t="s">
        <v>12</v>
      </c>
      <c r="I1983" t="s">
        <v>25</v>
      </c>
      <c r="J1983">
        <v>5</v>
      </c>
      <c r="K1983" t="s">
        <v>4</v>
      </c>
      <c r="L1983" t="s">
        <v>18</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2069</v>
      </c>
      <c r="B1984" t="s">
        <v>39</v>
      </c>
      <c r="C1984">
        <v>2</v>
      </c>
      <c r="D1984">
        <v>35.299999999999997</v>
      </c>
      <c r="E1984">
        <v>70.599999999999994</v>
      </c>
      <c r="F1984" s="1">
        <v>45730</v>
      </c>
      <c r="G1984" s="1">
        <v>45734</v>
      </c>
      <c r="H1984" t="s">
        <v>8</v>
      </c>
      <c r="I1984" t="s">
        <v>3</v>
      </c>
      <c r="J1984">
        <v>5</v>
      </c>
      <c r="K1984" t="s">
        <v>4</v>
      </c>
      <c r="L1984" t="s">
        <v>18</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2070</v>
      </c>
      <c r="B1985" t="s">
        <v>15</v>
      </c>
      <c r="C1985">
        <v>1</v>
      </c>
      <c r="D1985">
        <v>36.1</v>
      </c>
      <c r="E1985">
        <v>36.1</v>
      </c>
      <c r="F1985" s="1">
        <v>45730</v>
      </c>
      <c r="G1985" s="1">
        <v>45731</v>
      </c>
      <c r="H1985" t="s">
        <v>12</v>
      </c>
      <c r="I1985" t="s">
        <v>55</v>
      </c>
      <c r="J1985">
        <v>4</v>
      </c>
      <c r="K1985" t="s">
        <v>4</v>
      </c>
      <c r="L1985" t="s">
        <v>18</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2071</v>
      </c>
      <c r="B1986" t="s">
        <v>7</v>
      </c>
      <c r="C1986">
        <v>2</v>
      </c>
      <c r="D1986">
        <v>36.700000000000003</v>
      </c>
      <c r="E1986">
        <v>73.400000000000006</v>
      </c>
      <c r="F1986" s="1">
        <v>45730</v>
      </c>
      <c r="G1986" s="1">
        <v>45732</v>
      </c>
      <c r="H1986" t="s">
        <v>12</v>
      </c>
      <c r="I1986" t="s">
        <v>3</v>
      </c>
      <c r="J1986">
        <v>5</v>
      </c>
      <c r="K1986" t="s">
        <v>4</v>
      </c>
      <c r="L1986" t="s">
        <v>18</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2072</v>
      </c>
      <c r="B1987" t="s">
        <v>39</v>
      </c>
      <c r="C1987">
        <v>1</v>
      </c>
      <c r="D1987">
        <v>20.9</v>
      </c>
      <c r="E1987">
        <v>20.9</v>
      </c>
      <c r="F1987" s="1">
        <v>45730</v>
      </c>
      <c r="G1987" s="1">
        <v>45732</v>
      </c>
      <c r="H1987" t="s">
        <v>12</v>
      </c>
      <c r="I1987" t="s">
        <v>3</v>
      </c>
      <c r="J1987">
        <v>2</v>
      </c>
      <c r="K1987" t="s">
        <v>4</v>
      </c>
      <c r="L1987" t="s">
        <v>18</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2073</v>
      </c>
      <c r="B1988" t="s">
        <v>54</v>
      </c>
      <c r="C1988">
        <v>3</v>
      </c>
      <c r="D1988">
        <v>58.8</v>
      </c>
      <c r="E1988">
        <v>176.39999999999998</v>
      </c>
      <c r="F1988" s="1">
        <v>45730</v>
      </c>
      <c r="G1988" s="1">
        <v>45734</v>
      </c>
      <c r="H1988" t="s">
        <v>8</v>
      </c>
      <c r="I1988" t="s">
        <v>3</v>
      </c>
      <c r="J1988">
        <v>5</v>
      </c>
      <c r="K1988" t="s">
        <v>4</v>
      </c>
      <c r="L1988" t="s">
        <v>173</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2074</v>
      </c>
      <c r="B1989" t="s">
        <v>11</v>
      </c>
      <c r="C1989">
        <v>3</v>
      </c>
      <c r="D1989">
        <v>97.6</v>
      </c>
      <c r="E1989">
        <v>292.79999999999995</v>
      </c>
      <c r="F1989" s="1">
        <v>45731</v>
      </c>
      <c r="G1989" s="1">
        <v>45733</v>
      </c>
      <c r="H1989" t="s">
        <v>2</v>
      </c>
      <c r="I1989" t="s">
        <v>3</v>
      </c>
      <c r="J1989">
        <v>4</v>
      </c>
      <c r="K1989" t="s">
        <v>4</v>
      </c>
      <c r="L1989" t="s">
        <v>40</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2075</v>
      </c>
      <c r="B1990" t="s">
        <v>7</v>
      </c>
      <c r="C1990">
        <v>2</v>
      </c>
      <c r="D1990">
        <v>58.7</v>
      </c>
      <c r="E1990">
        <v>117.4</v>
      </c>
      <c r="F1990" s="1">
        <v>45731</v>
      </c>
      <c r="G1990" s="1">
        <v>45734</v>
      </c>
      <c r="H1990" t="s">
        <v>12</v>
      </c>
      <c r="I1990" t="s">
        <v>3</v>
      </c>
      <c r="J1990">
        <v>3</v>
      </c>
      <c r="K1990" t="s">
        <v>4</v>
      </c>
      <c r="L1990" t="s">
        <v>40</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2076</v>
      </c>
      <c r="B1991" t="s">
        <v>24</v>
      </c>
      <c r="C1991">
        <v>5</v>
      </c>
      <c r="D1991">
        <v>71.900000000000006</v>
      </c>
      <c r="E1991">
        <v>359.5</v>
      </c>
      <c r="F1991" s="1">
        <v>45731</v>
      </c>
      <c r="G1991" s="1">
        <v>45732</v>
      </c>
      <c r="H1991" t="s">
        <v>2</v>
      </c>
      <c r="I1991" t="s">
        <v>3</v>
      </c>
      <c r="J1991">
        <v>3</v>
      </c>
      <c r="K1991" t="s">
        <v>4</v>
      </c>
      <c r="L1991" t="s">
        <v>40</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2077</v>
      </c>
      <c r="B1992" t="s">
        <v>7</v>
      </c>
      <c r="C1992">
        <v>2</v>
      </c>
      <c r="D1992">
        <v>62.4</v>
      </c>
      <c r="E1992">
        <v>124.8</v>
      </c>
      <c r="F1992" s="1">
        <v>45731</v>
      </c>
      <c r="G1992" s="1">
        <v>45733</v>
      </c>
      <c r="H1992" t="s">
        <v>2</v>
      </c>
      <c r="I1992" t="s">
        <v>3</v>
      </c>
      <c r="J1992">
        <v>3</v>
      </c>
      <c r="K1992" t="s">
        <v>4</v>
      </c>
      <c r="L1992" t="s">
        <v>47</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2078</v>
      </c>
      <c r="B1993" t="s">
        <v>24</v>
      </c>
      <c r="C1993">
        <v>16</v>
      </c>
      <c r="D1993">
        <v>53.8</v>
      </c>
      <c r="E1993">
        <v>860.8</v>
      </c>
      <c r="F1993" s="1">
        <v>45731</v>
      </c>
      <c r="G1993" s="1">
        <v>45732</v>
      </c>
      <c r="H1993" t="s">
        <v>12</v>
      </c>
      <c r="I1993" t="s">
        <v>20</v>
      </c>
      <c r="J1993">
        <v>4</v>
      </c>
      <c r="K1993" t="s">
        <v>4</v>
      </c>
      <c r="L1993" t="s">
        <v>47</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2079</v>
      </c>
      <c r="B1994" t="s">
        <v>31</v>
      </c>
      <c r="C1994">
        <v>1</v>
      </c>
      <c r="D1994">
        <v>43.8</v>
      </c>
      <c r="E1994">
        <v>43.8</v>
      </c>
      <c r="F1994" s="1">
        <v>45731</v>
      </c>
      <c r="G1994" s="1">
        <v>45738</v>
      </c>
      <c r="H1994" t="s">
        <v>12</v>
      </c>
      <c r="I1994" t="s">
        <v>3</v>
      </c>
      <c r="J1994">
        <v>5</v>
      </c>
      <c r="K1994" t="s">
        <v>4</v>
      </c>
      <c r="L1994" t="s">
        <v>47</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2080</v>
      </c>
      <c r="B1995" t="s">
        <v>22</v>
      </c>
      <c r="C1995">
        <v>3</v>
      </c>
      <c r="D1995">
        <v>53.6</v>
      </c>
      <c r="E1995">
        <v>160.80000000000001</v>
      </c>
      <c r="F1995" s="1">
        <v>45731</v>
      </c>
      <c r="G1995" s="1">
        <v>45732</v>
      </c>
      <c r="H1995" t="s">
        <v>8</v>
      </c>
      <c r="I1995" t="s">
        <v>36</v>
      </c>
      <c r="J1995">
        <v>4</v>
      </c>
      <c r="K1995" t="s">
        <v>4</v>
      </c>
      <c r="L1995" t="s">
        <v>47</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2081</v>
      </c>
      <c r="B1996" t="s">
        <v>54</v>
      </c>
      <c r="C1996">
        <v>2</v>
      </c>
      <c r="D1996">
        <v>84.3</v>
      </c>
      <c r="E1996">
        <v>168.6</v>
      </c>
      <c r="F1996" s="1">
        <v>45731</v>
      </c>
      <c r="G1996" s="1">
        <v>45734</v>
      </c>
      <c r="H1996" t="s">
        <v>8</v>
      </c>
      <c r="I1996" t="s">
        <v>55</v>
      </c>
      <c r="J1996">
        <v>3</v>
      </c>
      <c r="K1996" t="s">
        <v>4</v>
      </c>
      <c r="L1996" t="s">
        <v>47</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2082</v>
      </c>
      <c r="B1997" t="s">
        <v>24</v>
      </c>
      <c r="C1997">
        <v>9</v>
      </c>
      <c r="D1997">
        <v>117.9</v>
      </c>
      <c r="E1997">
        <v>1061.1000000000001</v>
      </c>
      <c r="F1997" s="1">
        <v>45731</v>
      </c>
      <c r="G1997" s="1">
        <v>45732</v>
      </c>
      <c r="H1997" t="s">
        <v>12</v>
      </c>
      <c r="I1997" t="s">
        <v>20</v>
      </c>
      <c r="J1997">
        <v>5</v>
      </c>
      <c r="K1997" t="s">
        <v>4</v>
      </c>
      <c r="L1997" t="s">
        <v>47</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2083</v>
      </c>
      <c r="B1998" t="s">
        <v>17</v>
      </c>
      <c r="C1998">
        <v>8</v>
      </c>
      <c r="D1998">
        <v>30</v>
      </c>
      <c r="E1998">
        <v>240</v>
      </c>
      <c r="F1998" s="1">
        <v>45731</v>
      </c>
      <c r="G1998" s="1">
        <v>45732</v>
      </c>
      <c r="H1998" t="s">
        <v>12</v>
      </c>
      <c r="I1998" t="s">
        <v>20</v>
      </c>
      <c r="J1998">
        <v>4</v>
      </c>
      <c r="K1998" t="s">
        <v>4</v>
      </c>
      <c r="L1998" t="s">
        <v>186</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2084</v>
      </c>
      <c r="B1999" t="s">
        <v>66</v>
      </c>
      <c r="C1999">
        <v>3</v>
      </c>
      <c r="D1999">
        <v>37.299999999999997</v>
      </c>
      <c r="E1999">
        <v>111.89999999999999</v>
      </c>
      <c r="F1999" s="1">
        <v>45731</v>
      </c>
      <c r="G1999" s="1">
        <v>45732</v>
      </c>
      <c r="H1999" t="s">
        <v>8</v>
      </c>
      <c r="I1999" t="s">
        <v>25</v>
      </c>
      <c r="J1999">
        <v>4</v>
      </c>
      <c r="K1999" t="s">
        <v>4</v>
      </c>
      <c r="L1999" t="s">
        <v>57</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2085</v>
      </c>
      <c r="B2000" t="s">
        <v>17</v>
      </c>
      <c r="C2000">
        <v>9</v>
      </c>
      <c r="D2000">
        <v>25.1</v>
      </c>
      <c r="E2000">
        <v>225.9</v>
      </c>
      <c r="F2000" s="1">
        <v>45731</v>
      </c>
      <c r="G2000" s="1">
        <v>45733</v>
      </c>
      <c r="H2000" t="s">
        <v>8</v>
      </c>
      <c r="I2000" t="s">
        <v>20</v>
      </c>
      <c r="J2000">
        <v>5</v>
      </c>
      <c r="K2000" t="s">
        <v>4</v>
      </c>
      <c r="L2000" t="s">
        <v>62</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2086</v>
      </c>
      <c r="B2001" t="s">
        <v>29</v>
      </c>
      <c r="C2001">
        <v>11</v>
      </c>
      <c r="D2001">
        <v>36</v>
      </c>
      <c r="E2001">
        <v>396</v>
      </c>
      <c r="F2001" s="1">
        <v>45731</v>
      </c>
      <c r="G2001" s="1">
        <v>45741</v>
      </c>
      <c r="H2001" t="s">
        <v>8</v>
      </c>
      <c r="I2001" t="s">
        <v>20</v>
      </c>
      <c r="J2001">
        <v>4</v>
      </c>
      <c r="K2001" t="s">
        <v>4</v>
      </c>
      <c r="L2001" t="s">
        <v>93</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2087</v>
      </c>
      <c r="B2002" t="s">
        <v>113</v>
      </c>
      <c r="C2002">
        <v>3</v>
      </c>
      <c r="D2002">
        <v>48.5</v>
      </c>
      <c r="E2002">
        <v>145.5</v>
      </c>
      <c r="F2002" s="1">
        <v>45731</v>
      </c>
      <c r="G2002" s="1">
        <v>45735</v>
      </c>
      <c r="H2002" t="s">
        <v>12</v>
      </c>
      <c r="I2002" t="s">
        <v>20</v>
      </c>
      <c r="J2002">
        <v>4</v>
      </c>
      <c r="K2002" t="s">
        <v>4</v>
      </c>
      <c r="L2002" t="s">
        <v>95</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2088</v>
      </c>
      <c r="B2003" t="s">
        <v>120</v>
      </c>
      <c r="C2003">
        <v>6</v>
      </c>
      <c r="D2003">
        <v>21.1</v>
      </c>
      <c r="E2003">
        <v>126.60000000000001</v>
      </c>
      <c r="F2003" s="1">
        <v>45731</v>
      </c>
      <c r="G2003" s="1">
        <v>45732</v>
      </c>
      <c r="H2003" t="s">
        <v>8</v>
      </c>
      <c r="I2003" t="s">
        <v>20</v>
      </c>
      <c r="J2003">
        <v>5</v>
      </c>
      <c r="K2003" t="s">
        <v>4</v>
      </c>
      <c r="L2003" t="s">
        <v>100</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2089</v>
      </c>
      <c r="B2004" t="s">
        <v>108</v>
      </c>
      <c r="C2004">
        <v>14</v>
      </c>
      <c r="D2004">
        <v>43.2</v>
      </c>
      <c r="E2004">
        <v>604.80000000000007</v>
      </c>
      <c r="F2004" s="1">
        <v>45731</v>
      </c>
      <c r="G2004" s="1">
        <v>45732</v>
      </c>
      <c r="H2004" t="s">
        <v>74</v>
      </c>
      <c r="I2004" t="s">
        <v>3</v>
      </c>
      <c r="J2004">
        <v>3</v>
      </c>
      <c r="K2004" t="s">
        <v>4</v>
      </c>
      <c r="L2004" t="s">
        <v>100</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2090</v>
      </c>
      <c r="B2005" t="s">
        <v>31</v>
      </c>
      <c r="C2005">
        <v>2</v>
      </c>
      <c r="D2005">
        <v>21.1</v>
      </c>
      <c r="E2005">
        <v>42.2</v>
      </c>
      <c r="F2005" s="1">
        <v>45731</v>
      </c>
      <c r="G2005" s="1">
        <v>45732</v>
      </c>
      <c r="H2005" t="s">
        <v>2</v>
      </c>
      <c r="I2005" t="s">
        <v>36</v>
      </c>
      <c r="J2005">
        <v>3</v>
      </c>
      <c r="K2005" t="s">
        <v>4</v>
      </c>
      <c r="L2005" t="s">
        <v>100</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2091</v>
      </c>
      <c r="B2006" t="s">
        <v>24</v>
      </c>
      <c r="C2006">
        <v>4</v>
      </c>
      <c r="D2006">
        <v>41.3</v>
      </c>
      <c r="E2006">
        <v>165.2</v>
      </c>
      <c r="F2006" s="1">
        <v>45731</v>
      </c>
      <c r="G2006" s="1">
        <v>45733</v>
      </c>
      <c r="H2006" t="s">
        <v>12</v>
      </c>
      <c r="I2006" t="s">
        <v>36</v>
      </c>
      <c r="J2006">
        <v>5</v>
      </c>
      <c r="K2006" t="s">
        <v>4</v>
      </c>
      <c r="L2006" t="s">
        <v>9</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2092</v>
      </c>
      <c r="B2007" t="s">
        <v>29</v>
      </c>
      <c r="C2007">
        <v>2</v>
      </c>
      <c r="D2007">
        <v>15.3</v>
      </c>
      <c r="E2007">
        <v>30.6</v>
      </c>
      <c r="F2007" s="1">
        <v>45731</v>
      </c>
      <c r="G2007" s="1">
        <v>45734</v>
      </c>
      <c r="H2007" t="s">
        <v>2</v>
      </c>
      <c r="I2007" t="s">
        <v>25</v>
      </c>
      <c r="J2007">
        <v>5</v>
      </c>
      <c r="K2007" t="s">
        <v>4</v>
      </c>
      <c r="L2007" t="s">
        <v>9</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2093</v>
      </c>
      <c r="B2008" t="s">
        <v>7</v>
      </c>
      <c r="C2008">
        <v>1</v>
      </c>
      <c r="D2008">
        <v>54.6</v>
      </c>
      <c r="E2008">
        <v>54.6</v>
      </c>
      <c r="F2008" s="1">
        <v>45731</v>
      </c>
      <c r="G2008" s="1">
        <v>45733</v>
      </c>
      <c r="H2008" t="s">
        <v>8</v>
      </c>
      <c r="I2008" t="s">
        <v>20</v>
      </c>
      <c r="J2008">
        <v>3</v>
      </c>
      <c r="K2008" t="s">
        <v>4</v>
      </c>
      <c r="L2008" t="s">
        <v>13</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2094</v>
      </c>
      <c r="B2009" t="s">
        <v>29</v>
      </c>
      <c r="C2009">
        <v>1</v>
      </c>
      <c r="D2009">
        <v>15.9</v>
      </c>
      <c r="E2009">
        <v>15.9</v>
      </c>
      <c r="F2009" s="1">
        <v>45731</v>
      </c>
      <c r="G2009" s="1">
        <v>45732</v>
      </c>
      <c r="H2009" t="s">
        <v>8</v>
      </c>
      <c r="I2009" t="s">
        <v>3</v>
      </c>
      <c r="J2009">
        <v>3</v>
      </c>
      <c r="K2009" t="s">
        <v>4</v>
      </c>
      <c r="L2009" t="s">
        <v>132</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2095</v>
      </c>
      <c r="B2010" t="s">
        <v>31</v>
      </c>
      <c r="C2010">
        <v>1</v>
      </c>
      <c r="D2010">
        <v>50.2</v>
      </c>
      <c r="E2010">
        <v>50.2</v>
      </c>
      <c r="F2010" s="1">
        <v>45731</v>
      </c>
      <c r="G2010" s="1">
        <v>45733</v>
      </c>
      <c r="H2010" t="s">
        <v>12</v>
      </c>
      <c r="I2010" t="s">
        <v>36</v>
      </c>
      <c r="J2010">
        <v>5</v>
      </c>
      <c r="K2010" t="s">
        <v>4</v>
      </c>
      <c r="L2010" t="s">
        <v>319</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2096</v>
      </c>
      <c r="B2011" t="s">
        <v>52</v>
      </c>
      <c r="C2011">
        <v>4</v>
      </c>
      <c r="D2011">
        <v>85.1</v>
      </c>
      <c r="E2011">
        <v>340.4</v>
      </c>
      <c r="F2011" s="1">
        <v>45731</v>
      </c>
      <c r="G2011" s="1">
        <v>45732</v>
      </c>
      <c r="H2011" t="s">
        <v>12</v>
      </c>
      <c r="I2011" t="s">
        <v>36</v>
      </c>
      <c r="J2011">
        <v>2</v>
      </c>
      <c r="K2011" t="s">
        <v>4</v>
      </c>
      <c r="L2011" t="s">
        <v>319</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2097</v>
      </c>
      <c r="B2012" t="s">
        <v>52</v>
      </c>
      <c r="C2012">
        <v>2</v>
      </c>
      <c r="D2012">
        <v>41.4</v>
      </c>
      <c r="E2012">
        <v>82.8</v>
      </c>
      <c r="F2012" s="1">
        <v>45731</v>
      </c>
      <c r="G2012" s="1">
        <v>45732</v>
      </c>
      <c r="H2012" t="s">
        <v>12</v>
      </c>
      <c r="I2012" t="s">
        <v>3</v>
      </c>
      <c r="J2012">
        <v>5</v>
      </c>
      <c r="K2012" t="s">
        <v>4</v>
      </c>
      <c r="L2012" t="s">
        <v>18</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2098</v>
      </c>
      <c r="B2013" t="s">
        <v>17</v>
      </c>
      <c r="C2013">
        <v>7</v>
      </c>
      <c r="D2013">
        <v>32.700000000000003</v>
      </c>
      <c r="E2013">
        <v>228.90000000000003</v>
      </c>
      <c r="F2013" s="1">
        <v>45731</v>
      </c>
      <c r="G2013" s="1">
        <v>45732</v>
      </c>
      <c r="H2013" t="s">
        <v>12</v>
      </c>
      <c r="I2013" t="s">
        <v>25</v>
      </c>
      <c r="J2013">
        <v>3</v>
      </c>
      <c r="K2013" t="s">
        <v>4</v>
      </c>
      <c r="L2013" t="s">
        <v>18</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2099</v>
      </c>
      <c r="B2014" t="s">
        <v>17</v>
      </c>
      <c r="C2014">
        <v>2</v>
      </c>
      <c r="D2014">
        <v>41.6</v>
      </c>
      <c r="E2014">
        <v>83.2</v>
      </c>
      <c r="F2014" s="1">
        <v>45731</v>
      </c>
      <c r="G2014" s="1">
        <v>45733</v>
      </c>
      <c r="H2014" t="s">
        <v>8</v>
      </c>
      <c r="I2014" t="s">
        <v>55</v>
      </c>
      <c r="J2014">
        <v>3</v>
      </c>
      <c r="K2014" t="s">
        <v>4</v>
      </c>
      <c r="L2014" t="s">
        <v>18</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2100</v>
      </c>
      <c r="B2015" t="s">
        <v>22</v>
      </c>
      <c r="C2015">
        <v>4</v>
      </c>
      <c r="D2015">
        <v>64.8</v>
      </c>
      <c r="E2015">
        <v>259.2</v>
      </c>
      <c r="F2015" s="1">
        <v>45731</v>
      </c>
      <c r="G2015" s="1">
        <v>45732</v>
      </c>
      <c r="H2015" t="s">
        <v>2</v>
      </c>
      <c r="I2015" t="s">
        <v>25</v>
      </c>
      <c r="J2015">
        <v>4</v>
      </c>
      <c r="K2015" t="s">
        <v>4</v>
      </c>
      <c r="L2015" t="s">
        <v>18</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2101</v>
      </c>
      <c r="B2016" t="s">
        <v>108</v>
      </c>
      <c r="C2016">
        <v>2</v>
      </c>
      <c r="D2016">
        <v>33.6</v>
      </c>
      <c r="E2016">
        <v>67.2</v>
      </c>
      <c r="F2016" s="1">
        <v>45731</v>
      </c>
      <c r="G2016" s="1">
        <v>45732</v>
      </c>
      <c r="H2016" t="s">
        <v>8</v>
      </c>
      <c r="I2016" t="s">
        <v>3</v>
      </c>
      <c r="J2016">
        <v>5</v>
      </c>
      <c r="K2016" t="s">
        <v>4</v>
      </c>
      <c r="L2016" t="s">
        <v>18</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2102</v>
      </c>
      <c r="B2017" t="s">
        <v>24</v>
      </c>
      <c r="C2017">
        <v>3</v>
      </c>
      <c r="D2017">
        <v>100.7</v>
      </c>
      <c r="E2017">
        <v>302.10000000000002</v>
      </c>
      <c r="F2017" s="1">
        <v>45731</v>
      </c>
      <c r="G2017" s="1">
        <v>45732</v>
      </c>
      <c r="H2017" t="s">
        <v>2</v>
      </c>
      <c r="I2017" t="s">
        <v>20</v>
      </c>
      <c r="J2017">
        <v>4</v>
      </c>
      <c r="K2017" t="s">
        <v>4</v>
      </c>
      <c r="L2017" t="s">
        <v>18</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2103</v>
      </c>
      <c r="B2018" t="s">
        <v>17</v>
      </c>
      <c r="C2018">
        <v>2</v>
      </c>
      <c r="D2018">
        <v>49.3</v>
      </c>
      <c r="E2018">
        <v>98.6</v>
      </c>
      <c r="F2018" s="1">
        <v>45732</v>
      </c>
      <c r="G2018" s="1">
        <v>45734</v>
      </c>
      <c r="H2018" t="s">
        <v>12</v>
      </c>
      <c r="I2018" t="s">
        <v>55</v>
      </c>
      <c r="J2018">
        <v>5</v>
      </c>
      <c r="K2018" t="s">
        <v>4</v>
      </c>
      <c r="L2018" t="s">
        <v>18</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2104</v>
      </c>
      <c r="B2019" t="s">
        <v>11</v>
      </c>
      <c r="C2019">
        <v>6</v>
      </c>
      <c r="D2019">
        <v>97</v>
      </c>
      <c r="E2019">
        <v>582</v>
      </c>
      <c r="F2019" s="1">
        <v>45732</v>
      </c>
      <c r="G2019" s="1">
        <v>45735</v>
      </c>
      <c r="H2019" t="s">
        <v>8</v>
      </c>
      <c r="I2019" t="s">
        <v>25</v>
      </c>
      <c r="J2019">
        <v>5</v>
      </c>
      <c r="K2019" t="s">
        <v>4</v>
      </c>
      <c r="L2019" t="s">
        <v>18</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2105</v>
      </c>
      <c r="B2020" t="s">
        <v>1</v>
      </c>
      <c r="C2020">
        <v>6</v>
      </c>
      <c r="D2020">
        <v>25.2</v>
      </c>
      <c r="E2020">
        <v>151.19999999999999</v>
      </c>
      <c r="F2020" s="1">
        <v>45732</v>
      </c>
      <c r="G2020" s="1">
        <v>45735</v>
      </c>
      <c r="H2020" t="s">
        <v>12</v>
      </c>
      <c r="I2020" t="s">
        <v>55</v>
      </c>
      <c r="J2020">
        <v>5</v>
      </c>
      <c r="K2020" t="s">
        <v>4</v>
      </c>
      <c r="L2020" t="s">
        <v>18</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2106</v>
      </c>
      <c r="B2021" t="s">
        <v>1</v>
      </c>
      <c r="C2021">
        <v>11</v>
      </c>
      <c r="D2021">
        <v>12.2</v>
      </c>
      <c r="E2021">
        <v>134.19999999999999</v>
      </c>
      <c r="F2021" s="1">
        <v>45732</v>
      </c>
      <c r="G2021" s="1">
        <v>45733</v>
      </c>
      <c r="H2021" t="s">
        <v>2</v>
      </c>
      <c r="I2021" t="s">
        <v>3</v>
      </c>
      <c r="J2021">
        <v>3</v>
      </c>
      <c r="K2021" t="s">
        <v>4</v>
      </c>
      <c r="L2021" t="s">
        <v>18</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2107</v>
      </c>
      <c r="B2022" t="s">
        <v>29</v>
      </c>
      <c r="C2022">
        <v>7</v>
      </c>
      <c r="D2022">
        <v>38.799999999999997</v>
      </c>
      <c r="E2022">
        <v>271.59999999999997</v>
      </c>
      <c r="F2022" s="1">
        <v>45732</v>
      </c>
      <c r="G2022" s="1">
        <v>45734</v>
      </c>
      <c r="H2022" t="s">
        <v>12</v>
      </c>
      <c r="I2022" t="s">
        <v>20</v>
      </c>
      <c r="J2022">
        <v>3</v>
      </c>
      <c r="K2022" t="s">
        <v>4</v>
      </c>
      <c r="L2022" t="s">
        <v>143</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2108</v>
      </c>
      <c r="B2023" t="s">
        <v>11</v>
      </c>
      <c r="C2023">
        <v>4</v>
      </c>
      <c r="D2023">
        <v>53.2</v>
      </c>
      <c r="E2023">
        <v>212.8</v>
      </c>
      <c r="F2023" s="1">
        <v>45732</v>
      </c>
      <c r="G2023" s="1">
        <v>45733</v>
      </c>
      <c r="H2023" t="s">
        <v>8</v>
      </c>
      <c r="I2023" t="s">
        <v>3</v>
      </c>
      <c r="J2023">
        <v>5</v>
      </c>
      <c r="K2023" t="s">
        <v>4</v>
      </c>
      <c r="L2023" t="s">
        <v>47</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2109</v>
      </c>
      <c r="B2024" t="s">
        <v>24</v>
      </c>
      <c r="C2024">
        <v>7</v>
      </c>
      <c r="D2024">
        <v>151</v>
      </c>
      <c r="E2024">
        <v>1057</v>
      </c>
      <c r="F2024" s="1">
        <v>45732</v>
      </c>
      <c r="G2024" s="1">
        <v>45733</v>
      </c>
      <c r="H2024" t="s">
        <v>74</v>
      </c>
      <c r="I2024" t="s">
        <v>20</v>
      </c>
      <c r="J2024">
        <v>3</v>
      </c>
      <c r="K2024" t="s">
        <v>4</v>
      </c>
      <c r="L2024" t="s">
        <v>47</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2110</v>
      </c>
      <c r="B2025" t="s">
        <v>7</v>
      </c>
      <c r="C2025">
        <v>2</v>
      </c>
      <c r="D2025">
        <v>37.1</v>
      </c>
      <c r="E2025">
        <v>74.2</v>
      </c>
      <c r="F2025" s="1">
        <v>45732</v>
      </c>
      <c r="G2025" s="1">
        <v>45733</v>
      </c>
      <c r="H2025" t="s">
        <v>12</v>
      </c>
      <c r="I2025" t="s">
        <v>55</v>
      </c>
      <c r="J2025">
        <v>4</v>
      </c>
      <c r="K2025" t="s">
        <v>4</v>
      </c>
      <c r="L2025" t="s">
        <v>47</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2111</v>
      </c>
      <c r="B2026" t="s">
        <v>22</v>
      </c>
      <c r="C2026">
        <v>2</v>
      </c>
      <c r="D2026">
        <v>38.9</v>
      </c>
      <c r="E2026">
        <v>77.8</v>
      </c>
      <c r="F2026" s="1">
        <v>45732</v>
      </c>
      <c r="G2026" s="1">
        <v>45733</v>
      </c>
      <c r="H2026" t="s">
        <v>8</v>
      </c>
      <c r="I2026" t="s">
        <v>55</v>
      </c>
      <c r="J2026">
        <v>4</v>
      </c>
      <c r="K2026" t="s">
        <v>4</v>
      </c>
      <c r="L2026" t="s">
        <v>47</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2112</v>
      </c>
      <c r="B2027" t="s">
        <v>39</v>
      </c>
      <c r="C2027">
        <v>2</v>
      </c>
      <c r="D2027">
        <v>35.200000000000003</v>
      </c>
      <c r="E2027">
        <v>70.400000000000006</v>
      </c>
      <c r="F2027" s="1">
        <v>45732</v>
      </c>
      <c r="G2027" s="1">
        <v>45733</v>
      </c>
      <c r="H2027" t="s">
        <v>8</v>
      </c>
      <c r="I2027" t="s">
        <v>3</v>
      </c>
      <c r="J2027">
        <v>5</v>
      </c>
      <c r="K2027" t="s">
        <v>4</v>
      </c>
      <c r="L2027" t="s">
        <v>88</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2113</v>
      </c>
      <c r="B2028" t="s">
        <v>1</v>
      </c>
      <c r="C2028">
        <v>2</v>
      </c>
      <c r="D2028">
        <v>22.3</v>
      </c>
      <c r="E2028">
        <v>44.6</v>
      </c>
      <c r="F2028" s="1">
        <v>45732</v>
      </c>
      <c r="G2028" s="1">
        <v>45734</v>
      </c>
      <c r="H2028" t="s">
        <v>12</v>
      </c>
      <c r="I2028" t="s">
        <v>20</v>
      </c>
      <c r="J2028">
        <v>4</v>
      </c>
      <c r="K2028" t="s">
        <v>4</v>
      </c>
      <c r="L2028" t="s">
        <v>57</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2114</v>
      </c>
      <c r="B2029" t="s">
        <v>31</v>
      </c>
      <c r="C2029">
        <v>1</v>
      </c>
      <c r="D2029">
        <v>43.3</v>
      </c>
      <c r="E2029">
        <v>43.3</v>
      </c>
      <c r="F2029" s="1">
        <v>45732</v>
      </c>
      <c r="G2029" s="1">
        <v>45735</v>
      </c>
      <c r="H2029" t="s">
        <v>12</v>
      </c>
      <c r="I2029" t="s">
        <v>3</v>
      </c>
      <c r="J2029">
        <v>5</v>
      </c>
      <c r="K2029" t="s">
        <v>4</v>
      </c>
      <c r="L2029" t="s">
        <v>62</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2115</v>
      </c>
      <c r="B2030" t="s">
        <v>24</v>
      </c>
      <c r="C2030">
        <v>6</v>
      </c>
      <c r="D2030">
        <v>75.900000000000006</v>
      </c>
      <c r="E2030">
        <v>455.40000000000003</v>
      </c>
      <c r="F2030" s="1">
        <v>45732</v>
      </c>
      <c r="G2030" s="1">
        <v>45738</v>
      </c>
      <c r="H2030" t="s">
        <v>8</v>
      </c>
      <c r="I2030" t="s">
        <v>3</v>
      </c>
      <c r="J2030">
        <v>4</v>
      </c>
      <c r="K2030" t="s">
        <v>4</v>
      </c>
      <c r="L2030" t="s">
        <v>62</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2116</v>
      </c>
      <c r="B2031" t="s">
        <v>24</v>
      </c>
      <c r="C2031">
        <v>3</v>
      </c>
      <c r="D2031">
        <v>78.7</v>
      </c>
      <c r="E2031">
        <v>236.10000000000002</v>
      </c>
      <c r="F2031" s="1">
        <v>45732</v>
      </c>
      <c r="G2031" s="1">
        <v>45736</v>
      </c>
      <c r="H2031" t="s">
        <v>12</v>
      </c>
      <c r="I2031" t="s">
        <v>25</v>
      </c>
      <c r="J2031">
        <v>3</v>
      </c>
      <c r="K2031" t="s">
        <v>4</v>
      </c>
      <c r="L2031" t="s">
        <v>62</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2117</v>
      </c>
      <c r="B2032" t="s">
        <v>7</v>
      </c>
      <c r="C2032">
        <v>1</v>
      </c>
      <c r="D2032">
        <v>66.3</v>
      </c>
      <c r="E2032">
        <v>66.3</v>
      </c>
      <c r="F2032" s="1">
        <v>45732</v>
      </c>
      <c r="G2032" s="1">
        <v>45736</v>
      </c>
      <c r="H2032" t="s">
        <v>12</v>
      </c>
      <c r="I2032" t="s">
        <v>3</v>
      </c>
      <c r="J2032">
        <v>5</v>
      </c>
      <c r="K2032" t="s">
        <v>4</v>
      </c>
      <c r="L2032" t="s">
        <v>95</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2118</v>
      </c>
      <c r="B2033" t="s">
        <v>29</v>
      </c>
      <c r="C2033">
        <v>2</v>
      </c>
      <c r="D2033">
        <v>33.6</v>
      </c>
      <c r="E2033">
        <v>67.2</v>
      </c>
      <c r="F2033" s="1">
        <v>45732</v>
      </c>
      <c r="G2033" s="1">
        <v>45732</v>
      </c>
      <c r="H2033" t="s">
        <v>8</v>
      </c>
      <c r="I2033" t="s">
        <v>3</v>
      </c>
      <c r="J2033">
        <v>3</v>
      </c>
      <c r="K2033" t="s">
        <v>4</v>
      </c>
      <c r="L2033" t="s">
        <v>95</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2119</v>
      </c>
      <c r="B2034" t="s">
        <v>11</v>
      </c>
      <c r="C2034">
        <v>7</v>
      </c>
      <c r="D2034">
        <v>61.4</v>
      </c>
      <c r="E2034">
        <v>429.8</v>
      </c>
      <c r="F2034" s="1">
        <v>45732</v>
      </c>
      <c r="G2034" s="1">
        <v>45733</v>
      </c>
      <c r="H2034" t="s">
        <v>8</v>
      </c>
      <c r="I2034" t="s">
        <v>55</v>
      </c>
      <c r="J2034">
        <v>4</v>
      </c>
      <c r="K2034" t="s">
        <v>4</v>
      </c>
      <c r="L2034" t="s">
        <v>95</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2120</v>
      </c>
      <c r="B2035" t="s">
        <v>29</v>
      </c>
      <c r="C2035">
        <v>2</v>
      </c>
      <c r="D2035">
        <v>17.5</v>
      </c>
      <c r="E2035">
        <v>35</v>
      </c>
      <c r="F2035" s="1">
        <v>45732</v>
      </c>
      <c r="G2035" s="1">
        <v>45735</v>
      </c>
      <c r="H2035" t="s">
        <v>12</v>
      </c>
      <c r="I2035" t="s">
        <v>3</v>
      </c>
      <c r="J2035">
        <v>4</v>
      </c>
      <c r="K2035" t="s">
        <v>4</v>
      </c>
      <c r="L2035" t="s">
        <v>100</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2121</v>
      </c>
      <c r="B2036" t="s">
        <v>29</v>
      </c>
      <c r="C2036">
        <v>2</v>
      </c>
      <c r="D2036">
        <v>32.5</v>
      </c>
      <c r="E2036">
        <v>65</v>
      </c>
      <c r="F2036" s="1">
        <v>45732</v>
      </c>
      <c r="G2036" s="1">
        <v>45735</v>
      </c>
      <c r="H2036" t="s">
        <v>12</v>
      </c>
      <c r="I2036" t="s">
        <v>20</v>
      </c>
      <c r="J2036">
        <v>4</v>
      </c>
      <c r="K2036" t="s">
        <v>4</v>
      </c>
      <c r="L2036" t="s">
        <v>100</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2122</v>
      </c>
      <c r="B2037" t="s">
        <v>17</v>
      </c>
      <c r="C2037">
        <v>1</v>
      </c>
      <c r="D2037">
        <v>34.6</v>
      </c>
      <c r="E2037">
        <v>34.6</v>
      </c>
      <c r="F2037" s="1">
        <v>45732</v>
      </c>
      <c r="G2037" s="1">
        <v>45733</v>
      </c>
      <c r="H2037" t="s">
        <v>12</v>
      </c>
      <c r="I2037" t="s">
        <v>55</v>
      </c>
      <c r="J2037">
        <v>4</v>
      </c>
      <c r="K2037" t="s">
        <v>4</v>
      </c>
      <c r="L2037" t="s">
        <v>100</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2123</v>
      </c>
      <c r="B2038" t="s">
        <v>11</v>
      </c>
      <c r="C2038">
        <v>1</v>
      </c>
      <c r="D2038">
        <v>75.900000000000006</v>
      </c>
      <c r="E2038">
        <v>75.900000000000006</v>
      </c>
      <c r="F2038" s="1">
        <v>45732</v>
      </c>
      <c r="G2038" s="1">
        <v>45732</v>
      </c>
      <c r="H2038" t="s">
        <v>8</v>
      </c>
      <c r="I2038" t="s">
        <v>20</v>
      </c>
      <c r="J2038">
        <v>5</v>
      </c>
      <c r="K2038" t="s">
        <v>4</v>
      </c>
      <c r="L2038" t="s">
        <v>100</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2124</v>
      </c>
      <c r="B2039" t="s">
        <v>7</v>
      </c>
      <c r="C2039">
        <v>3</v>
      </c>
      <c r="D2039">
        <v>42.1</v>
      </c>
      <c r="E2039">
        <v>126.30000000000001</v>
      </c>
      <c r="F2039" s="1">
        <v>45732</v>
      </c>
      <c r="G2039" s="1">
        <v>45735</v>
      </c>
      <c r="H2039" t="s">
        <v>8</v>
      </c>
      <c r="I2039" t="s">
        <v>20</v>
      </c>
      <c r="J2039">
        <v>3</v>
      </c>
      <c r="K2039" t="s">
        <v>4</v>
      </c>
      <c r="L2039" t="s">
        <v>100</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2125</v>
      </c>
      <c r="B2040" t="s">
        <v>27</v>
      </c>
      <c r="C2040">
        <v>3</v>
      </c>
      <c r="D2040">
        <v>65.3</v>
      </c>
      <c r="E2040">
        <v>195.89999999999998</v>
      </c>
      <c r="F2040" s="1">
        <v>45732</v>
      </c>
      <c r="G2040" s="1">
        <v>45739</v>
      </c>
      <c r="H2040" t="s">
        <v>8</v>
      </c>
      <c r="I2040" t="s">
        <v>3</v>
      </c>
      <c r="J2040">
        <v>4</v>
      </c>
      <c r="K2040" t="s">
        <v>4</v>
      </c>
      <c r="L2040" t="s">
        <v>9</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2126</v>
      </c>
      <c r="B2041" t="s">
        <v>108</v>
      </c>
      <c r="C2041">
        <v>1</v>
      </c>
      <c r="D2041">
        <v>20.6</v>
      </c>
      <c r="E2041">
        <v>20.6</v>
      </c>
      <c r="F2041" s="1">
        <v>45732</v>
      </c>
      <c r="G2041" s="1">
        <v>45735</v>
      </c>
      <c r="H2041" t="s">
        <v>8</v>
      </c>
      <c r="I2041" t="s">
        <v>36</v>
      </c>
      <c r="J2041">
        <v>4</v>
      </c>
      <c r="K2041" t="s">
        <v>4</v>
      </c>
      <c r="L2041" t="s">
        <v>422</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2127</v>
      </c>
      <c r="B2042" t="s">
        <v>29</v>
      </c>
      <c r="C2042">
        <v>7</v>
      </c>
      <c r="D2042">
        <v>16.5</v>
      </c>
      <c r="E2042">
        <v>115.5</v>
      </c>
      <c r="F2042" s="1">
        <v>45732</v>
      </c>
      <c r="G2042" s="1">
        <v>45733</v>
      </c>
      <c r="H2042" t="s">
        <v>8</v>
      </c>
      <c r="I2042" t="s">
        <v>20</v>
      </c>
      <c r="J2042">
        <v>3</v>
      </c>
      <c r="K2042" t="s">
        <v>4</v>
      </c>
      <c r="L2042" t="s">
        <v>13</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2128</v>
      </c>
      <c r="B2043" t="s">
        <v>113</v>
      </c>
      <c r="C2043">
        <v>10</v>
      </c>
      <c r="D2043">
        <v>36.200000000000003</v>
      </c>
      <c r="E2043">
        <v>362</v>
      </c>
      <c r="F2043" s="1">
        <v>45732</v>
      </c>
      <c r="G2043" s="1">
        <v>45734</v>
      </c>
      <c r="H2043" t="s">
        <v>8</v>
      </c>
      <c r="I2043" t="s">
        <v>3</v>
      </c>
      <c r="J2043">
        <v>5</v>
      </c>
      <c r="K2043" t="s">
        <v>4</v>
      </c>
      <c r="L2043" t="s">
        <v>13</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2129</v>
      </c>
      <c r="B2044" t="s">
        <v>24</v>
      </c>
      <c r="C2044">
        <v>1</v>
      </c>
      <c r="D2044">
        <v>53.2</v>
      </c>
      <c r="E2044">
        <v>53.2</v>
      </c>
      <c r="F2044" s="1">
        <v>45732</v>
      </c>
      <c r="G2044" s="1">
        <v>45733</v>
      </c>
      <c r="H2044" t="s">
        <v>12</v>
      </c>
      <c r="I2044" t="s">
        <v>3</v>
      </c>
      <c r="J2044">
        <v>3</v>
      </c>
      <c r="K2044" t="s">
        <v>4</v>
      </c>
      <c r="L2044" t="s">
        <v>132</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2130</v>
      </c>
      <c r="B2045" t="s">
        <v>11</v>
      </c>
      <c r="C2045">
        <v>14</v>
      </c>
      <c r="D2045">
        <v>176</v>
      </c>
      <c r="E2045">
        <v>2464</v>
      </c>
      <c r="F2045" s="1">
        <v>45732</v>
      </c>
      <c r="G2045" s="1">
        <v>45733</v>
      </c>
      <c r="H2045" t="s">
        <v>12</v>
      </c>
      <c r="I2045" t="s">
        <v>3</v>
      </c>
      <c r="J2045">
        <v>3</v>
      </c>
      <c r="K2045" t="s">
        <v>4</v>
      </c>
      <c r="L2045" t="s">
        <v>18</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2131</v>
      </c>
      <c r="B2046" t="s">
        <v>7</v>
      </c>
      <c r="C2046">
        <v>1</v>
      </c>
      <c r="D2046">
        <v>52.4</v>
      </c>
      <c r="E2046">
        <v>52.4</v>
      </c>
      <c r="F2046" s="1">
        <v>45732</v>
      </c>
      <c r="G2046" s="1">
        <v>45733</v>
      </c>
      <c r="H2046" t="s">
        <v>8</v>
      </c>
      <c r="I2046" t="s">
        <v>20</v>
      </c>
      <c r="J2046">
        <v>4</v>
      </c>
      <c r="K2046" t="s">
        <v>4</v>
      </c>
      <c r="L2046" t="s">
        <v>18</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2132</v>
      </c>
      <c r="B2047" t="s">
        <v>39</v>
      </c>
      <c r="C2047">
        <v>3</v>
      </c>
      <c r="D2047">
        <v>48.2</v>
      </c>
      <c r="E2047">
        <v>144.60000000000002</v>
      </c>
      <c r="F2047" s="1">
        <v>45732</v>
      </c>
      <c r="G2047" s="1">
        <v>45733</v>
      </c>
      <c r="H2047" t="s">
        <v>12</v>
      </c>
      <c r="I2047" t="s">
        <v>20</v>
      </c>
      <c r="J2047">
        <v>5</v>
      </c>
      <c r="K2047" t="s">
        <v>4</v>
      </c>
      <c r="L2047" t="s">
        <v>18</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2133</v>
      </c>
      <c r="B2048" t="s">
        <v>108</v>
      </c>
      <c r="C2048">
        <v>1</v>
      </c>
      <c r="D2048">
        <v>51.6</v>
      </c>
      <c r="E2048">
        <v>51.6</v>
      </c>
      <c r="F2048" s="1">
        <v>45732</v>
      </c>
      <c r="G2048" s="1">
        <v>45736</v>
      </c>
      <c r="H2048" t="s">
        <v>12</v>
      </c>
      <c r="I2048" t="s">
        <v>25</v>
      </c>
      <c r="J2048">
        <v>3</v>
      </c>
      <c r="K2048" t="s">
        <v>4</v>
      </c>
      <c r="L2048" t="s">
        <v>18</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2134</v>
      </c>
      <c r="B2049" t="s">
        <v>1</v>
      </c>
      <c r="C2049">
        <v>4</v>
      </c>
      <c r="D2049">
        <v>33.700000000000003</v>
      </c>
      <c r="E2049">
        <v>134.80000000000001</v>
      </c>
      <c r="F2049" s="1">
        <v>45733</v>
      </c>
      <c r="G2049" s="1">
        <v>45734</v>
      </c>
      <c r="H2049" t="s">
        <v>8</v>
      </c>
      <c r="I2049" t="s">
        <v>3</v>
      </c>
      <c r="J2049">
        <v>4</v>
      </c>
      <c r="K2049" t="s">
        <v>4</v>
      </c>
      <c r="L2049" t="s">
        <v>18</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2135</v>
      </c>
      <c r="B2050" t="s">
        <v>17</v>
      </c>
      <c r="C2050">
        <v>10</v>
      </c>
      <c r="D2050">
        <v>36.299999999999997</v>
      </c>
      <c r="E2050">
        <v>363</v>
      </c>
      <c r="F2050" s="1">
        <v>45733</v>
      </c>
      <c r="G2050" s="1">
        <v>45735</v>
      </c>
      <c r="H2050" t="s">
        <v>12</v>
      </c>
      <c r="I2050" t="s">
        <v>55</v>
      </c>
      <c r="J2050">
        <v>3</v>
      </c>
      <c r="K2050" t="s">
        <v>4</v>
      </c>
      <c r="L2050" t="s">
        <v>18</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2136</v>
      </c>
      <c r="B2051" t="s">
        <v>29</v>
      </c>
      <c r="C2051">
        <v>1</v>
      </c>
      <c r="D2051">
        <v>23.4</v>
      </c>
      <c r="E2051">
        <v>23.4</v>
      </c>
      <c r="F2051" s="1">
        <v>45733</v>
      </c>
      <c r="G2051" s="1">
        <v>45738</v>
      </c>
      <c r="H2051" t="s">
        <v>12</v>
      </c>
      <c r="I2051" t="s">
        <v>20</v>
      </c>
      <c r="J2051">
        <v>5</v>
      </c>
      <c r="K2051" t="s">
        <v>4</v>
      </c>
      <c r="L2051" t="s">
        <v>18</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2137</v>
      </c>
      <c r="B2052" t="s">
        <v>108</v>
      </c>
      <c r="C2052">
        <v>8</v>
      </c>
      <c r="D2052">
        <v>56.6</v>
      </c>
      <c r="E2052">
        <v>452.8</v>
      </c>
      <c r="F2052" s="1">
        <v>45733</v>
      </c>
      <c r="G2052" s="1">
        <v>45735</v>
      </c>
      <c r="H2052" t="s">
        <v>12</v>
      </c>
      <c r="I2052" t="s">
        <v>20</v>
      </c>
      <c r="J2052">
        <v>4</v>
      </c>
      <c r="K2052" t="s">
        <v>4</v>
      </c>
      <c r="L2052" t="s">
        <v>18</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2138</v>
      </c>
      <c r="B2053" t="s">
        <v>108</v>
      </c>
      <c r="C2053">
        <v>2</v>
      </c>
      <c r="D2053">
        <v>26.8</v>
      </c>
      <c r="E2053">
        <v>53.6</v>
      </c>
      <c r="F2053" s="1">
        <v>45733</v>
      </c>
      <c r="G2053" s="1">
        <v>45734</v>
      </c>
      <c r="H2053" t="s">
        <v>8</v>
      </c>
      <c r="I2053" t="s">
        <v>3</v>
      </c>
      <c r="J2053">
        <v>4</v>
      </c>
      <c r="K2053" t="s">
        <v>4</v>
      </c>
      <c r="L2053" t="s">
        <v>34</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2139</v>
      </c>
      <c r="B2054" t="s">
        <v>1</v>
      </c>
      <c r="C2054">
        <v>3</v>
      </c>
      <c r="D2054">
        <v>11.3</v>
      </c>
      <c r="E2054">
        <v>33.900000000000006</v>
      </c>
      <c r="F2054" s="1">
        <v>45733</v>
      </c>
      <c r="G2054" s="1">
        <v>45735</v>
      </c>
      <c r="H2054" t="s">
        <v>8</v>
      </c>
      <c r="I2054" t="s">
        <v>25</v>
      </c>
      <c r="J2054">
        <v>4</v>
      </c>
      <c r="K2054" t="s">
        <v>4</v>
      </c>
      <c r="L2054" t="s">
        <v>173</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2140</v>
      </c>
      <c r="B2055" t="s">
        <v>24</v>
      </c>
      <c r="C2055">
        <v>3</v>
      </c>
      <c r="D2055">
        <v>60.1</v>
      </c>
      <c r="E2055">
        <v>180.3</v>
      </c>
      <c r="F2055" s="1">
        <v>45733</v>
      </c>
      <c r="G2055" s="1">
        <v>45736</v>
      </c>
      <c r="H2055" t="s">
        <v>12</v>
      </c>
      <c r="I2055" t="s">
        <v>3</v>
      </c>
      <c r="J2055">
        <v>4</v>
      </c>
      <c r="K2055" t="s">
        <v>4</v>
      </c>
      <c r="L2055" t="s">
        <v>44</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2141</v>
      </c>
      <c r="B2056" t="s">
        <v>1</v>
      </c>
      <c r="C2056">
        <v>11</v>
      </c>
      <c r="D2056">
        <v>27.7</v>
      </c>
      <c r="E2056">
        <v>304.7</v>
      </c>
      <c r="F2056" s="1">
        <v>45733</v>
      </c>
      <c r="G2056" s="1">
        <v>45738</v>
      </c>
      <c r="H2056" t="s">
        <v>12</v>
      </c>
      <c r="I2056" t="s">
        <v>3</v>
      </c>
      <c r="J2056">
        <v>4</v>
      </c>
      <c r="K2056" t="s">
        <v>4</v>
      </c>
      <c r="L2056" t="s">
        <v>47</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2142</v>
      </c>
      <c r="B2057" t="s">
        <v>108</v>
      </c>
      <c r="C2057">
        <v>1</v>
      </c>
      <c r="D2057">
        <v>71.400000000000006</v>
      </c>
      <c r="E2057">
        <v>71.400000000000006</v>
      </c>
      <c r="F2057" s="1">
        <v>45733</v>
      </c>
      <c r="G2057" s="1">
        <v>45736</v>
      </c>
      <c r="H2057" t="s">
        <v>8</v>
      </c>
      <c r="I2057" t="s">
        <v>3</v>
      </c>
      <c r="J2057">
        <v>5</v>
      </c>
      <c r="K2057" t="s">
        <v>4</v>
      </c>
      <c r="L2057" t="s">
        <v>47</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2143</v>
      </c>
      <c r="B2058" t="s">
        <v>11</v>
      </c>
      <c r="C2058">
        <v>2</v>
      </c>
      <c r="D2058">
        <v>66.7</v>
      </c>
      <c r="E2058">
        <v>133.4</v>
      </c>
      <c r="F2058" s="1">
        <v>45733</v>
      </c>
      <c r="G2058" s="1">
        <v>45734</v>
      </c>
      <c r="H2058" t="s">
        <v>12</v>
      </c>
      <c r="I2058" t="s">
        <v>3</v>
      </c>
      <c r="J2058">
        <v>5</v>
      </c>
      <c r="K2058" t="s">
        <v>4</v>
      </c>
      <c r="L2058" t="s">
        <v>47</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2144</v>
      </c>
      <c r="B2059" t="s">
        <v>61</v>
      </c>
      <c r="C2059">
        <v>5</v>
      </c>
      <c r="D2059">
        <v>39.1</v>
      </c>
      <c r="E2059">
        <v>195.5</v>
      </c>
      <c r="F2059" s="1">
        <v>45733</v>
      </c>
      <c r="G2059" s="1">
        <v>45734</v>
      </c>
      <c r="H2059" t="s">
        <v>12</v>
      </c>
      <c r="I2059" t="s">
        <v>3</v>
      </c>
      <c r="J2059">
        <v>4</v>
      </c>
      <c r="K2059" t="s">
        <v>4</v>
      </c>
      <c r="L2059" t="s">
        <v>47</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2145</v>
      </c>
      <c r="B2060" t="s">
        <v>29</v>
      </c>
      <c r="C2060">
        <v>4</v>
      </c>
      <c r="D2060">
        <v>24.9</v>
      </c>
      <c r="E2060">
        <v>99.6</v>
      </c>
      <c r="F2060" s="1">
        <v>45733</v>
      </c>
      <c r="G2060" s="1">
        <v>45738</v>
      </c>
      <c r="H2060" t="s">
        <v>8</v>
      </c>
      <c r="I2060" t="s">
        <v>20</v>
      </c>
      <c r="J2060">
        <v>5</v>
      </c>
      <c r="K2060" t="s">
        <v>4</v>
      </c>
      <c r="L2060" t="s">
        <v>47</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2146</v>
      </c>
      <c r="B2061" t="s">
        <v>22</v>
      </c>
      <c r="C2061">
        <v>5</v>
      </c>
      <c r="D2061">
        <v>29.2</v>
      </c>
      <c r="E2061">
        <v>146</v>
      </c>
      <c r="F2061" s="1">
        <v>45733</v>
      </c>
      <c r="G2061" s="1">
        <v>45734</v>
      </c>
      <c r="H2061" t="s">
        <v>8</v>
      </c>
      <c r="I2061" t="s">
        <v>3</v>
      </c>
      <c r="J2061">
        <v>5</v>
      </c>
      <c r="K2061" t="s">
        <v>4</v>
      </c>
      <c r="L2061" t="s">
        <v>88</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2147</v>
      </c>
      <c r="B2062" t="s">
        <v>61</v>
      </c>
      <c r="C2062">
        <v>14</v>
      </c>
      <c r="D2062">
        <v>28.3</v>
      </c>
      <c r="E2062">
        <v>396.2</v>
      </c>
      <c r="F2062" s="1">
        <v>45733</v>
      </c>
      <c r="G2062" s="1">
        <v>45735</v>
      </c>
      <c r="H2062" t="s">
        <v>12</v>
      </c>
      <c r="I2062" t="s">
        <v>20</v>
      </c>
      <c r="J2062">
        <v>4</v>
      </c>
      <c r="K2062" t="s">
        <v>4</v>
      </c>
      <c r="L2062" t="s">
        <v>62</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2148</v>
      </c>
      <c r="B2063" t="s">
        <v>31</v>
      </c>
      <c r="C2063">
        <v>3</v>
      </c>
      <c r="D2063">
        <v>37.799999999999997</v>
      </c>
      <c r="E2063">
        <v>113.39999999999999</v>
      </c>
      <c r="F2063" s="1">
        <v>45733</v>
      </c>
      <c r="G2063" s="1">
        <v>45734</v>
      </c>
      <c r="H2063" t="s">
        <v>12</v>
      </c>
      <c r="I2063" t="s">
        <v>3</v>
      </c>
      <c r="J2063">
        <v>3</v>
      </c>
      <c r="K2063" t="s">
        <v>4</v>
      </c>
      <c r="L2063" t="s">
        <v>62</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2149</v>
      </c>
      <c r="B2064" t="s">
        <v>66</v>
      </c>
      <c r="C2064">
        <v>7</v>
      </c>
      <c r="D2064">
        <v>28.1</v>
      </c>
      <c r="E2064">
        <v>196.70000000000002</v>
      </c>
      <c r="F2064" s="1">
        <v>45733</v>
      </c>
      <c r="G2064" s="1">
        <v>45739</v>
      </c>
      <c r="H2064" t="s">
        <v>12</v>
      </c>
      <c r="I2064" t="s">
        <v>25</v>
      </c>
      <c r="J2064">
        <v>4</v>
      </c>
      <c r="K2064" t="s">
        <v>4</v>
      </c>
      <c r="L2064" t="s">
        <v>62</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2150</v>
      </c>
      <c r="B2065" t="s">
        <v>7</v>
      </c>
      <c r="C2065">
        <v>3</v>
      </c>
      <c r="D2065">
        <v>59.7</v>
      </c>
      <c r="E2065">
        <v>179.10000000000002</v>
      </c>
      <c r="F2065" s="1">
        <v>45733</v>
      </c>
      <c r="G2065" s="1">
        <v>45735</v>
      </c>
      <c r="H2065" t="s">
        <v>12</v>
      </c>
      <c r="I2065" t="s">
        <v>25</v>
      </c>
      <c r="J2065">
        <v>4</v>
      </c>
      <c r="K2065" t="s">
        <v>4</v>
      </c>
      <c r="L2065" t="s">
        <v>62</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2151</v>
      </c>
      <c r="B2066" t="s">
        <v>113</v>
      </c>
      <c r="C2066">
        <v>1</v>
      </c>
      <c r="D2066">
        <v>71.900000000000006</v>
      </c>
      <c r="E2066">
        <v>71.900000000000006</v>
      </c>
      <c r="F2066" s="1">
        <v>45733</v>
      </c>
      <c r="G2066" s="1">
        <v>45734</v>
      </c>
      <c r="H2066" t="s">
        <v>8</v>
      </c>
      <c r="I2066" t="s">
        <v>20</v>
      </c>
      <c r="J2066">
        <v>3</v>
      </c>
      <c r="K2066" t="s">
        <v>4</v>
      </c>
      <c r="L2066" t="s">
        <v>62</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2152</v>
      </c>
      <c r="B2067" t="s">
        <v>7</v>
      </c>
      <c r="C2067">
        <v>2</v>
      </c>
      <c r="D2067">
        <v>56.9</v>
      </c>
      <c r="E2067">
        <v>113.8</v>
      </c>
      <c r="F2067" s="1">
        <v>45733</v>
      </c>
      <c r="G2067" s="1">
        <v>45734</v>
      </c>
      <c r="H2067" t="s">
        <v>8</v>
      </c>
      <c r="I2067" t="s">
        <v>25</v>
      </c>
      <c r="J2067">
        <v>4</v>
      </c>
      <c r="K2067" t="s">
        <v>4</v>
      </c>
      <c r="L2067" t="s">
        <v>67</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2153</v>
      </c>
      <c r="B2068" t="s">
        <v>29</v>
      </c>
      <c r="C2068">
        <v>2</v>
      </c>
      <c r="D2068">
        <v>15.8</v>
      </c>
      <c r="E2068">
        <v>31.6</v>
      </c>
      <c r="F2068" s="1">
        <v>45733</v>
      </c>
      <c r="G2068" s="1">
        <v>45736</v>
      </c>
      <c r="H2068" t="s">
        <v>12</v>
      </c>
      <c r="I2068" t="s">
        <v>25</v>
      </c>
      <c r="J2068">
        <v>3</v>
      </c>
      <c r="K2068" t="s">
        <v>4</v>
      </c>
      <c r="L2068" t="s">
        <v>9</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2154</v>
      </c>
      <c r="B2069" t="s">
        <v>52</v>
      </c>
      <c r="C2069">
        <v>4</v>
      </c>
      <c r="D2069">
        <v>61.7</v>
      </c>
      <c r="E2069">
        <v>246.8</v>
      </c>
      <c r="F2069" s="1">
        <v>45733</v>
      </c>
      <c r="G2069" s="1">
        <v>45735</v>
      </c>
      <c r="H2069" t="s">
        <v>12</v>
      </c>
      <c r="I2069" t="s">
        <v>25</v>
      </c>
      <c r="J2069">
        <v>4</v>
      </c>
      <c r="K2069" t="s">
        <v>4</v>
      </c>
      <c r="L2069" t="s">
        <v>132</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2155</v>
      </c>
      <c r="B2070" t="s">
        <v>11</v>
      </c>
      <c r="C2070">
        <v>10</v>
      </c>
      <c r="D2070">
        <v>105.2</v>
      </c>
      <c r="E2070">
        <v>1052</v>
      </c>
      <c r="F2070" s="1">
        <v>45733</v>
      </c>
      <c r="G2070" s="1">
        <v>45735</v>
      </c>
      <c r="H2070" t="s">
        <v>8</v>
      </c>
      <c r="I2070" t="s">
        <v>20</v>
      </c>
      <c r="J2070">
        <v>2</v>
      </c>
      <c r="K2070" t="s">
        <v>4</v>
      </c>
      <c r="L2070" t="s">
        <v>18</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2156</v>
      </c>
      <c r="B2071" t="s">
        <v>1</v>
      </c>
      <c r="C2071">
        <v>2</v>
      </c>
      <c r="D2071">
        <v>17</v>
      </c>
      <c r="E2071">
        <v>34</v>
      </c>
      <c r="F2071" s="1">
        <v>45733</v>
      </c>
      <c r="G2071" s="1">
        <v>45735</v>
      </c>
      <c r="H2071" t="s">
        <v>12</v>
      </c>
      <c r="I2071" t="s">
        <v>25</v>
      </c>
      <c r="J2071">
        <v>4</v>
      </c>
      <c r="K2071" t="s">
        <v>4</v>
      </c>
      <c r="L2071" t="s">
        <v>18</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2157</v>
      </c>
      <c r="B2072" t="s">
        <v>24</v>
      </c>
      <c r="C2072">
        <v>3</v>
      </c>
      <c r="D2072">
        <v>84.1</v>
      </c>
      <c r="E2072">
        <v>252.29999999999998</v>
      </c>
      <c r="F2072" s="1">
        <v>45733</v>
      </c>
      <c r="G2072" s="1">
        <v>45734</v>
      </c>
      <c r="H2072" t="s">
        <v>8</v>
      </c>
      <c r="I2072" t="s">
        <v>25</v>
      </c>
      <c r="J2072">
        <v>4</v>
      </c>
      <c r="K2072" t="s">
        <v>4</v>
      </c>
      <c r="L2072" t="s">
        <v>18</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2158</v>
      </c>
      <c r="B2073" t="s">
        <v>15</v>
      </c>
      <c r="C2073">
        <v>4</v>
      </c>
      <c r="D2073">
        <v>59.5</v>
      </c>
      <c r="E2073">
        <v>238</v>
      </c>
      <c r="F2073" s="1">
        <v>45733</v>
      </c>
      <c r="G2073" s="1">
        <v>45738</v>
      </c>
      <c r="H2073" t="s">
        <v>8</v>
      </c>
      <c r="I2073" t="s">
        <v>3</v>
      </c>
      <c r="J2073">
        <v>5</v>
      </c>
      <c r="K2073" t="s">
        <v>4</v>
      </c>
      <c r="L2073" t="s">
        <v>18</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2159</v>
      </c>
      <c r="B2074" t="s">
        <v>29</v>
      </c>
      <c r="C2074">
        <v>2</v>
      </c>
      <c r="D2074">
        <v>57.5</v>
      </c>
      <c r="E2074">
        <v>115</v>
      </c>
      <c r="F2074" s="1">
        <v>45733</v>
      </c>
      <c r="G2074" s="1">
        <v>45735</v>
      </c>
      <c r="H2074" t="s">
        <v>8</v>
      </c>
      <c r="I2074" t="s">
        <v>20</v>
      </c>
      <c r="J2074">
        <v>5</v>
      </c>
      <c r="K2074" t="s">
        <v>4</v>
      </c>
      <c r="L2074" t="s">
        <v>18</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2160</v>
      </c>
      <c r="B2075" t="s">
        <v>29</v>
      </c>
      <c r="C2075">
        <v>1</v>
      </c>
      <c r="D2075">
        <v>34.299999999999997</v>
      </c>
      <c r="E2075">
        <v>34.299999999999997</v>
      </c>
      <c r="F2075" s="1">
        <v>45733</v>
      </c>
      <c r="G2075" s="1">
        <v>45734</v>
      </c>
      <c r="H2075" t="s">
        <v>12</v>
      </c>
      <c r="I2075" t="s">
        <v>55</v>
      </c>
      <c r="J2075">
        <v>5</v>
      </c>
      <c r="K2075" t="s">
        <v>4</v>
      </c>
      <c r="L2075" t="s">
        <v>18</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2161</v>
      </c>
      <c r="B2076" t="s">
        <v>22</v>
      </c>
      <c r="C2076">
        <v>2</v>
      </c>
      <c r="D2076">
        <v>27.8</v>
      </c>
      <c r="E2076">
        <v>55.6</v>
      </c>
      <c r="F2076" s="1">
        <v>45734</v>
      </c>
      <c r="G2076" s="1">
        <v>45736</v>
      </c>
      <c r="H2076" t="s">
        <v>12</v>
      </c>
      <c r="I2076" t="s">
        <v>3</v>
      </c>
      <c r="J2076">
        <v>4</v>
      </c>
      <c r="K2076" t="s">
        <v>4</v>
      </c>
      <c r="L2076" t="s">
        <v>18</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2162</v>
      </c>
      <c r="B2077" t="s">
        <v>54</v>
      </c>
      <c r="C2077">
        <v>2</v>
      </c>
      <c r="D2077">
        <v>85</v>
      </c>
      <c r="E2077">
        <v>170</v>
      </c>
      <c r="F2077" s="1">
        <v>45734</v>
      </c>
      <c r="G2077" s="1">
        <v>45734</v>
      </c>
      <c r="H2077" t="s">
        <v>8</v>
      </c>
      <c r="I2077" t="s">
        <v>25</v>
      </c>
      <c r="J2077">
        <v>5</v>
      </c>
      <c r="K2077" t="s">
        <v>4</v>
      </c>
      <c r="L2077" t="s">
        <v>18</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2163</v>
      </c>
      <c r="B2078" t="s">
        <v>24</v>
      </c>
      <c r="C2078">
        <v>2</v>
      </c>
      <c r="D2078">
        <v>95</v>
      </c>
      <c r="E2078">
        <v>190</v>
      </c>
      <c r="F2078" s="1">
        <v>45734</v>
      </c>
      <c r="G2078" s="1">
        <v>45736</v>
      </c>
      <c r="H2078" t="s">
        <v>12</v>
      </c>
      <c r="I2078" t="s">
        <v>3</v>
      </c>
      <c r="J2078">
        <v>4</v>
      </c>
      <c r="K2078" t="s">
        <v>4</v>
      </c>
      <c r="L2078" t="s">
        <v>18</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2164</v>
      </c>
      <c r="B2079" t="s">
        <v>113</v>
      </c>
      <c r="C2079">
        <v>2</v>
      </c>
      <c r="D2079">
        <v>32</v>
      </c>
      <c r="E2079">
        <v>64</v>
      </c>
      <c r="F2079" s="1">
        <v>45734</v>
      </c>
      <c r="G2079" s="1">
        <v>45736</v>
      </c>
      <c r="H2079" t="s">
        <v>8</v>
      </c>
      <c r="I2079" t="s">
        <v>3</v>
      </c>
      <c r="J2079">
        <v>3</v>
      </c>
      <c r="K2079" t="s">
        <v>4</v>
      </c>
      <c r="L2079" t="s">
        <v>18</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2165</v>
      </c>
      <c r="B2080" t="s">
        <v>11</v>
      </c>
      <c r="C2080">
        <v>2</v>
      </c>
      <c r="D2080">
        <v>65.2</v>
      </c>
      <c r="E2080">
        <v>130.4</v>
      </c>
      <c r="F2080" s="1">
        <v>45734</v>
      </c>
      <c r="G2080" s="1">
        <v>45735</v>
      </c>
      <c r="H2080" t="s">
        <v>12</v>
      </c>
      <c r="I2080" t="s">
        <v>20</v>
      </c>
      <c r="J2080">
        <v>4</v>
      </c>
      <c r="K2080" t="s">
        <v>4</v>
      </c>
      <c r="L2080" t="s">
        <v>18</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2166</v>
      </c>
      <c r="B2081" t="s">
        <v>120</v>
      </c>
      <c r="C2081">
        <v>4</v>
      </c>
      <c r="D2081">
        <v>22</v>
      </c>
      <c r="E2081">
        <v>88</v>
      </c>
      <c r="F2081" s="1">
        <v>45734</v>
      </c>
      <c r="G2081" s="1">
        <v>45735</v>
      </c>
      <c r="H2081" t="s">
        <v>8</v>
      </c>
      <c r="I2081" t="s">
        <v>20</v>
      </c>
      <c r="J2081">
        <v>5</v>
      </c>
      <c r="K2081" t="s">
        <v>4</v>
      </c>
      <c r="L2081" t="s">
        <v>18</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2167</v>
      </c>
      <c r="B2082" t="s">
        <v>108</v>
      </c>
      <c r="C2082">
        <v>3</v>
      </c>
      <c r="D2082">
        <v>69.400000000000006</v>
      </c>
      <c r="E2082">
        <v>208.20000000000002</v>
      </c>
      <c r="F2082" s="1">
        <v>45734</v>
      </c>
      <c r="G2082" s="1">
        <v>45737</v>
      </c>
      <c r="H2082" t="s">
        <v>8</v>
      </c>
      <c r="I2082" t="s">
        <v>20</v>
      </c>
      <c r="J2082">
        <v>5</v>
      </c>
      <c r="K2082" t="s">
        <v>4</v>
      </c>
      <c r="L2082" t="s">
        <v>18</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2168</v>
      </c>
      <c r="B2083" t="s">
        <v>39</v>
      </c>
      <c r="C2083">
        <v>6</v>
      </c>
      <c r="D2083">
        <v>31.5</v>
      </c>
      <c r="E2083">
        <v>189</v>
      </c>
      <c r="F2083" s="1">
        <v>45734</v>
      </c>
      <c r="G2083" s="1">
        <v>45736</v>
      </c>
      <c r="H2083" t="s">
        <v>12</v>
      </c>
      <c r="I2083" t="s">
        <v>3</v>
      </c>
      <c r="J2083">
        <v>5</v>
      </c>
      <c r="K2083" t="s">
        <v>4</v>
      </c>
      <c r="L2083" t="s">
        <v>18</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2169</v>
      </c>
      <c r="B2084" t="s">
        <v>24</v>
      </c>
      <c r="C2084">
        <v>1</v>
      </c>
      <c r="D2084">
        <v>45.8</v>
      </c>
      <c r="E2084">
        <v>45.8</v>
      </c>
      <c r="F2084" s="1">
        <v>45734</v>
      </c>
      <c r="G2084" s="1">
        <v>45738</v>
      </c>
      <c r="H2084" t="s">
        <v>74</v>
      </c>
      <c r="I2084" t="s">
        <v>3</v>
      </c>
      <c r="J2084">
        <v>4</v>
      </c>
      <c r="K2084" t="s">
        <v>4</v>
      </c>
      <c r="L2084" t="s">
        <v>18</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2170</v>
      </c>
      <c r="B2085" t="s">
        <v>156</v>
      </c>
      <c r="C2085">
        <v>4</v>
      </c>
      <c r="D2085">
        <v>12.8</v>
      </c>
      <c r="E2085">
        <v>51.2</v>
      </c>
      <c r="F2085" s="1">
        <v>45734</v>
      </c>
      <c r="G2085" s="1">
        <v>45741</v>
      </c>
      <c r="H2085" t="s">
        <v>12</v>
      </c>
      <c r="I2085" t="s">
        <v>20</v>
      </c>
      <c r="J2085">
        <v>3</v>
      </c>
      <c r="K2085" t="s">
        <v>4</v>
      </c>
      <c r="L2085" t="s">
        <v>37</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2171</v>
      </c>
      <c r="B2086" t="s">
        <v>22</v>
      </c>
      <c r="C2086">
        <v>3</v>
      </c>
      <c r="D2086">
        <v>115.3</v>
      </c>
      <c r="E2086">
        <v>345.9</v>
      </c>
      <c r="F2086" s="1">
        <v>45734</v>
      </c>
      <c r="G2086" s="1">
        <v>45735</v>
      </c>
      <c r="H2086" t="s">
        <v>12</v>
      </c>
      <c r="I2086" t="s">
        <v>25</v>
      </c>
      <c r="J2086">
        <v>5</v>
      </c>
      <c r="K2086" t="s">
        <v>4</v>
      </c>
      <c r="L2086" t="s">
        <v>40</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2172</v>
      </c>
      <c r="B2087" t="s">
        <v>22</v>
      </c>
      <c r="C2087">
        <v>2</v>
      </c>
      <c r="D2087">
        <v>85</v>
      </c>
      <c r="E2087">
        <v>170</v>
      </c>
      <c r="F2087" s="1">
        <v>45734</v>
      </c>
      <c r="G2087" s="1">
        <v>45736</v>
      </c>
      <c r="H2087" t="s">
        <v>12</v>
      </c>
      <c r="I2087" t="s">
        <v>20</v>
      </c>
      <c r="J2087">
        <v>4</v>
      </c>
      <c r="K2087" t="s">
        <v>4</v>
      </c>
      <c r="L2087" t="s">
        <v>44</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2173</v>
      </c>
      <c r="B2088" t="s">
        <v>29</v>
      </c>
      <c r="C2088">
        <v>3</v>
      </c>
      <c r="D2088">
        <v>56.6</v>
      </c>
      <c r="E2088">
        <v>169.8</v>
      </c>
      <c r="F2088" s="1">
        <v>45734</v>
      </c>
      <c r="G2088" s="1">
        <v>45735</v>
      </c>
      <c r="H2088" t="s">
        <v>12</v>
      </c>
      <c r="I2088" t="s">
        <v>20</v>
      </c>
      <c r="J2088">
        <v>5</v>
      </c>
      <c r="K2088" t="s">
        <v>4</v>
      </c>
      <c r="L2088" t="s">
        <v>44</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2174</v>
      </c>
      <c r="B2089" t="s">
        <v>108</v>
      </c>
      <c r="C2089">
        <v>27</v>
      </c>
      <c r="D2089">
        <v>46.3</v>
      </c>
      <c r="E2089">
        <v>1250.0999999999999</v>
      </c>
      <c r="F2089" s="1">
        <v>45734</v>
      </c>
      <c r="G2089" s="1">
        <v>45737</v>
      </c>
      <c r="H2089" t="s">
        <v>8</v>
      </c>
      <c r="I2089" t="s">
        <v>3</v>
      </c>
      <c r="J2089">
        <v>4</v>
      </c>
      <c r="K2089" t="s">
        <v>4</v>
      </c>
      <c r="L2089" t="s">
        <v>44</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2175</v>
      </c>
      <c r="B2090" t="s">
        <v>66</v>
      </c>
      <c r="C2090">
        <v>4</v>
      </c>
      <c r="D2090">
        <v>23</v>
      </c>
      <c r="E2090">
        <v>92</v>
      </c>
      <c r="F2090" s="1">
        <v>45734</v>
      </c>
      <c r="G2090" s="1">
        <v>45738</v>
      </c>
      <c r="H2090" t="s">
        <v>8</v>
      </c>
      <c r="I2090" t="s">
        <v>36</v>
      </c>
      <c r="J2090">
        <v>5</v>
      </c>
      <c r="K2090" t="s">
        <v>4</v>
      </c>
      <c r="L2090" t="s">
        <v>44</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2176</v>
      </c>
      <c r="B2091" t="s">
        <v>29</v>
      </c>
      <c r="C2091">
        <v>6</v>
      </c>
      <c r="D2091">
        <v>42.1</v>
      </c>
      <c r="E2091">
        <v>252.60000000000002</v>
      </c>
      <c r="F2091" s="1">
        <v>45734</v>
      </c>
      <c r="G2091" s="1">
        <v>45736</v>
      </c>
      <c r="H2091" t="s">
        <v>8</v>
      </c>
      <c r="I2091" t="s">
        <v>55</v>
      </c>
      <c r="J2091">
        <v>4</v>
      </c>
      <c r="K2091" t="s">
        <v>4</v>
      </c>
      <c r="L2091" t="s">
        <v>47</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2177</v>
      </c>
      <c r="B2092" t="s">
        <v>22</v>
      </c>
      <c r="C2092">
        <v>7</v>
      </c>
      <c r="D2092">
        <v>57.4</v>
      </c>
      <c r="E2092">
        <v>401.8</v>
      </c>
      <c r="F2092" s="1">
        <v>45734</v>
      </c>
      <c r="G2092" s="1">
        <v>45738</v>
      </c>
      <c r="H2092" t="s">
        <v>12</v>
      </c>
      <c r="I2092" t="s">
        <v>20</v>
      </c>
      <c r="J2092">
        <v>2</v>
      </c>
      <c r="K2092" t="s">
        <v>4</v>
      </c>
      <c r="L2092" t="s">
        <v>47</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2178</v>
      </c>
      <c r="B2093" t="s">
        <v>1</v>
      </c>
      <c r="C2093">
        <v>6</v>
      </c>
      <c r="D2093">
        <v>13.2</v>
      </c>
      <c r="E2093">
        <v>79.199999999999989</v>
      </c>
      <c r="F2093" s="1">
        <v>45734</v>
      </c>
      <c r="G2093" s="1">
        <v>45738</v>
      </c>
      <c r="H2093" t="s">
        <v>8</v>
      </c>
      <c r="I2093" t="s">
        <v>25</v>
      </c>
      <c r="J2093">
        <v>4</v>
      </c>
      <c r="K2093" t="s">
        <v>4</v>
      </c>
      <c r="L2093" t="s">
        <v>47</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2179</v>
      </c>
      <c r="B2094" t="s">
        <v>24</v>
      </c>
      <c r="C2094">
        <v>3</v>
      </c>
      <c r="D2094">
        <v>52.3</v>
      </c>
      <c r="E2094">
        <v>156.89999999999998</v>
      </c>
      <c r="F2094" s="1">
        <v>45734</v>
      </c>
      <c r="G2094" s="1">
        <v>45735</v>
      </c>
      <c r="H2094" t="s">
        <v>8</v>
      </c>
      <c r="I2094" t="s">
        <v>20</v>
      </c>
      <c r="J2094">
        <v>4</v>
      </c>
      <c r="K2094" t="s">
        <v>4</v>
      </c>
      <c r="L2094" t="s">
        <v>47</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2180</v>
      </c>
      <c r="B2095" t="s">
        <v>29</v>
      </c>
      <c r="C2095">
        <v>2</v>
      </c>
      <c r="D2095">
        <v>15.7</v>
      </c>
      <c r="E2095">
        <v>31.4</v>
      </c>
      <c r="F2095" s="1">
        <v>45734</v>
      </c>
      <c r="G2095" s="1">
        <v>45737</v>
      </c>
      <c r="H2095" t="s">
        <v>8</v>
      </c>
      <c r="I2095" t="s">
        <v>20</v>
      </c>
      <c r="J2095">
        <v>5</v>
      </c>
      <c r="K2095" t="s">
        <v>4</v>
      </c>
      <c r="L2095" t="s">
        <v>47</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2181</v>
      </c>
      <c r="B2096" t="s">
        <v>27</v>
      </c>
      <c r="C2096">
        <v>3</v>
      </c>
      <c r="D2096">
        <v>35</v>
      </c>
      <c r="E2096">
        <v>105</v>
      </c>
      <c r="F2096" s="1">
        <v>45734</v>
      </c>
      <c r="G2096" s="1">
        <v>45737</v>
      </c>
      <c r="H2096" t="s">
        <v>12</v>
      </c>
      <c r="I2096" t="s">
        <v>20</v>
      </c>
      <c r="J2096">
        <v>5</v>
      </c>
      <c r="K2096" t="s">
        <v>4</v>
      </c>
      <c r="L2096" t="s">
        <v>57</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2182</v>
      </c>
      <c r="B2097" t="s">
        <v>17</v>
      </c>
      <c r="C2097">
        <v>3</v>
      </c>
      <c r="D2097">
        <v>26.6</v>
      </c>
      <c r="E2097">
        <v>79.800000000000011</v>
      </c>
      <c r="F2097" s="1">
        <v>45734</v>
      </c>
      <c r="G2097" s="1">
        <v>45734</v>
      </c>
      <c r="H2097" t="s">
        <v>8</v>
      </c>
      <c r="I2097" t="s">
        <v>20</v>
      </c>
      <c r="J2097">
        <v>5</v>
      </c>
      <c r="K2097" t="s">
        <v>4</v>
      </c>
      <c r="L2097" t="s">
        <v>62</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2183</v>
      </c>
      <c r="B2098" t="s">
        <v>17</v>
      </c>
      <c r="C2098">
        <v>8</v>
      </c>
      <c r="D2098">
        <v>47.9</v>
      </c>
      <c r="E2098">
        <v>383.2</v>
      </c>
      <c r="F2098" s="1">
        <v>45735</v>
      </c>
      <c r="G2098" s="1">
        <v>45736</v>
      </c>
      <c r="H2098" t="s">
        <v>12</v>
      </c>
      <c r="I2098" t="s">
        <v>36</v>
      </c>
      <c r="J2098">
        <v>5</v>
      </c>
      <c r="K2098" t="s">
        <v>4</v>
      </c>
      <c r="L2098" t="s">
        <v>98</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2184</v>
      </c>
      <c r="B2099" t="s">
        <v>22</v>
      </c>
      <c r="C2099">
        <v>1</v>
      </c>
      <c r="D2099">
        <v>80.099999999999994</v>
      </c>
      <c r="E2099">
        <v>80.099999999999994</v>
      </c>
      <c r="F2099" s="1">
        <v>45735</v>
      </c>
      <c r="G2099" s="1">
        <v>45736</v>
      </c>
      <c r="H2099" t="s">
        <v>8</v>
      </c>
      <c r="I2099" t="s">
        <v>25</v>
      </c>
      <c r="J2099">
        <v>4</v>
      </c>
      <c r="K2099" t="s">
        <v>4</v>
      </c>
      <c r="L2099" t="s">
        <v>100</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2185</v>
      </c>
      <c r="B2100" t="s">
        <v>24</v>
      </c>
      <c r="C2100">
        <v>5</v>
      </c>
      <c r="D2100">
        <v>50.4</v>
      </c>
      <c r="E2100">
        <v>252</v>
      </c>
      <c r="F2100" s="1">
        <v>45735</v>
      </c>
      <c r="G2100" s="1">
        <v>45736</v>
      </c>
      <c r="H2100" t="s">
        <v>8</v>
      </c>
      <c r="I2100" t="s">
        <v>20</v>
      </c>
      <c r="J2100">
        <v>5</v>
      </c>
      <c r="K2100" t="s">
        <v>4</v>
      </c>
      <c r="L2100" t="s">
        <v>100</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2186</v>
      </c>
      <c r="B2101" t="s">
        <v>39</v>
      </c>
      <c r="C2101">
        <v>7</v>
      </c>
      <c r="D2101">
        <v>43.3</v>
      </c>
      <c r="E2101">
        <v>303.09999999999997</v>
      </c>
      <c r="F2101" s="1">
        <v>45735</v>
      </c>
      <c r="G2101" s="1">
        <v>45736</v>
      </c>
      <c r="H2101" t="s">
        <v>8</v>
      </c>
      <c r="I2101" t="s">
        <v>25</v>
      </c>
      <c r="J2101">
        <v>4</v>
      </c>
      <c r="K2101" t="s">
        <v>4</v>
      </c>
      <c r="L2101" t="s">
        <v>100</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2187</v>
      </c>
      <c r="B2102" t="s">
        <v>39</v>
      </c>
      <c r="C2102">
        <v>4</v>
      </c>
      <c r="D2102">
        <v>57.5</v>
      </c>
      <c r="E2102">
        <v>230</v>
      </c>
      <c r="F2102" s="1">
        <v>45735</v>
      </c>
      <c r="G2102" s="1">
        <v>45736</v>
      </c>
      <c r="H2102" t="s">
        <v>12</v>
      </c>
      <c r="I2102" t="s">
        <v>20</v>
      </c>
      <c r="J2102">
        <v>5</v>
      </c>
      <c r="K2102" t="s">
        <v>4</v>
      </c>
      <c r="L2102" t="s">
        <v>9</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2188</v>
      </c>
      <c r="B2103" t="s">
        <v>31</v>
      </c>
      <c r="C2103">
        <v>13</v>
      </c>
      <c r="D2103">
        <v>24.8</v>
      </c>
      <c r="E2103">
        <v>322.40000000000003</v>
      </c>
      <c r="F2103" s="1">
        <v>45735</v>
      </c>
      <c r="G2103" s="1">
        <v>45736</v>
      </c>
      <c r="H2103" t="s">
        <v>8</v>
      </c>
      <c r="I2103" t="s">
        <v>3</v>
      </c>
      <c r="J2103">
        <v>4</v>
      </c>
      <c r="K2103" t="s">
        <v>4</v>
      </c>
      <c r="L2103" t="s">
        <v>2189</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2190</v>
      </c>
      <c r="B2104" t="s">
        <v>11</v>
      </c>
      <c r="C2104">
        <v>9</v>
      </c>
      <c r="D2104">
        <v>85.7</v>
      </c>
      <c r="E2104">
        <v>771.30000000000007</v>
      </c>
      <c r="F2104" s="1">
        <v>45735</v>
      </c>
      <c r="G2104" s="1">
        <v>45736</v>
      </c>
      <c r="H2104" t="s">
        <v>12</v>
      </c>
      <c r="I2104" t="s">
        <v>3</v>
      </c>
      <c r="J2104">
        <v>4</v>
      </c>
      <c r="K2104" t="s">
        <v>4</v>
      </c>
      <c r="L2104" t="s">
        <v>422</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2191</v>
      </c>
      <c r="B2105" t="s">
        <v>27</v>
      </c>
      <c r="C2105">
        <v>1</v>
      </c>
      <c r="D2105">
        <v>47.1</v>
      </c>
      <c r="E2105">
        <v>47.1</v>
      </c>
      <c r="F2105" s="1">
        <v>45735</v>
      </c>
      <c r="G2105" s="1">
        <v>45737</v>
      </c>
      <c r="H2105" t="s">
        <v>12</v>
      </c>
      <c r="I2105" t="s">
        <v>3</v>
      </c>
      <c r="J2105">
        <v>4</v>
      </c>
      <c r="K2105" t="s">
        <v>4</v>
      </c>
      <c r="L2105" t="s">
        <v>13</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2192</v>
      </c>
      <c r="B2106" t="s">
        <v>22</v>
      </c>
      <c r="C2106">
        <v>10</v>
      </c>
      <c r="D2106">
        <v>83.2</v>
      </c>
      <c r="E2106">
        <v>832</v>
      </c>
      <c r="F2106" s="1">
        <v>45735</v>
      </c>
      <c r="G2106" s="1">
        <v>45739</v>
      </c>
      <c r="H2106" t="s">
        <v>12</v>
      </c>
      <c r="I2106" t="s">
        <v>3</v>
      </c>
      <c r="J2106">
        <v>4</v>
      </c>
      <c r="K2106" t="s">
        <v>4</v>
      </c>
      <c r="L2106" t="s">
        <v>316</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2193</v>
      </c>
      <c r="B2107" t="s">
        <v>11</v>
      </c>
      <c r="C2107">
        <v>3</v>
      </c>
      <c r="D2107">
        <v>157</v>
      </c>
      <c r="E2107">
        <v>471</v>
      </c>
      <c r="F2107" s="1">
        <v>45735</v>
      </c>
      <c r="G2107" s="1">
        <v>45737</v>
      </c>
      <c r="H2107" t="s">
        <v>12</v>
      </c>
      <c r="I2107" t="s">
        <v>3</v>
      </c>
      <c r="J2107">
        <v>5</v>
      </c>
      <c r="K2107" t="s">
        <v>4</v>
      </c>
      <c r="L2107" t="s">
        <v>132</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2194</v>
      </c>
      <c r="B2108" t="s">
        <v>113</v>
      </c>
      <c r="C2108">
        <v>4</v>
      </c>
      <c r="D2108">
        <v>33.700000000000003</v>
      </c>
      <c r="E2108">
        <v>134.80000000000001</v>
      </c>
      <c r="F2108" s="1">
        <v>45735</v>
      </c>
      <c r="G2108" s="1">
        <v>45736</v>
      </c>
      <c r="H2108" t="s">
        <v>8</v>
      </c>
      <c r="I2108" t="s">
        <v>25</v>
      </c>
      <c r="J2108">
        <v>5</v>
      </c>
      <c r="K2108" t="s">
        <v>4</v>
      </c>
      <c r="L2108" t="s">
        <v>132</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2195</v>
      </c>
      <c r="B2109" t="s">
        <v>11</v>
      </c>
      <c r="C2109">
        <v>3</v>
      </c>
      <c r="D2109">
        <v>60.8</v>
      </c>
      <c r="E2109">
        <v>182.39999999999998</v>
      </c>
      <c r="F2109" s="1">
        <v>45735</v>
      </c>
      <c r="G2109" s="1">
        <v>45739</v>
      </c>
      <c r="H2109" t="s">
        <v>12</v>
      </c>
      <c r="I2109" t="s">
        <v>20</v>
      </c>
      <c r="J2109">
        <v>3</v>
      </c>
      <c r="K2109" t="s">
        <v>4</v>
      </c>
      <c r="L2109" t="s">
        <v>18</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2196</v>
      </c>
      <c r="B2110" t="s">
        <v>27</v>
      </c>
      <c r="C2110">
        <v>1</v>
      </c>
      <c r="D2110">
        <v>57.6</v>
      </c>
      <c r="E2110">
        <v>57.6</v>
      </c>
      <c r="F2110" s="1">
        <v>45735</v>
      </c>
      <c r="G2110" s="1">
        <v>45736</v>
      </c>
      <c r="H2110" t="s">
        <v>8</v>
      </c>
      <c r="I2110" t="s">
        <v>20</v>
      </c>
      <c r="J2110">
        <v>2</v>
      </c>
      <c r="K2110" t="s">
        <v>4</v>
      </c>
      <c r="L2110" t="s">
        <v>18</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2197</v>
      </c>
      <c r="B2111" t="s">
        <v>39</v>
      </c>
      <c r="C2111">
        <v>1</v>
      </c>
      <c r="D2111">
        <v>32</v>
      </c>
      <c r="E2111">
        <v>32</v>
      </c>
      <c r="F2111" s="1">
        <v>45735</v>
      </c>
      <c r="G2111" s="1">
        <v>45737</v>
      </c>
      <c r="H2111" t="s">
        <v>8</v>
      </c>
      <c r="I2111" t="s">
        <v>3</v>
      </c>
      <c r="J2111">
        <v>4</v>
      </c>
      <c r="K2111" t="s">
        <v>4</v>
      </c>
      <c r="L2111" t="s">
        <v>18</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2198</v>
      </c>
      <c r="B2112" t="s">
        <v>39</v>
      </c>
      <c r="C2112">
        <v>4</v>
      </c>
      <c r="D2112">
        <v>23.5</v>
      </c>
      <c r="E2112">
        <v>94</v>
      </c>
      <c r="F2112" s="1">
        <v>45735</v>
      </c>
      <c r="G2112" s="1">
        <v>45736</v>
      </c>
      <c r="H2112" t="s">
        <v>12</v>
      </c>
      <c r="I2112" t="s">
        <v>3</v>
      </c>
      <c r="J2112">
        <v>5</v>
      </c>
      <c r="K2112" t="s">
        <v>4</v>
      </c>
      <c r="L2112" t="s">
        <v>18</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2199</v>
      </c>
      <c r="B2113" t="s">
        <v>54</v>
      </c>
      <c r="C2113">
        <v>3</v>
      </c>
      <c r="D2113">
        <v>44.8</v>
      </c>
      <c r="E2113">
        <v>134.39999999999998</v>
      </c>
      <c r="F2113" s="1">
        <v>45735</v>
      </c>
      <c r="G2113" s="1">
        <v>45736</v>
      </c>
      <c r="H2113" t="s">
        <v>74</v>
      </c>
      <c r="I2113" t="s">
        <v>55</v>
      </c>
      <c r="J2113">
        <v>4</v>
      </c>
      <c r="K2113" t="s">
        <v>4</v>
      </c>
      <c r="L2113" t="s">
        <v>18</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2200</v>
      </c>
      <c r="B2114" t="s">
        <v>1</v>
      </c>
      <c r="C2114">
        <v>8</v>
      </c>
      <c r="D2114">
        <v>11.7</v>
      </c>
      <c r="E2114">
        <v>93.6</v>
      </c>
      <c r="F2114" s="1">
        <v>45735</v>
      </c>
      <c r="G2114" s="1">
        <v>45736</v>
      </c>
      <c r="H2114" t="s">
        <v>8</v>
      </c>
      <c r="I2114" t="s">
        <v>25</v>
      </c>
      <c r="J2114">
        <v>5</v>
      </c>
      <c r="K2114" t="s">
        <v>4</v>
      </c>
      <c r="L2114" t="s">
        <v>18</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2201</v>
      </c>
      <c r="B2115" t="s">
        <v>27</v>
      </c>
      <c r="C2115">
        <v>2</v>
      </c>
      <c r="D2115">
        <v>38.799999999999997</v>
      </c>
      <c r="E2115">
        <v>77.599999999999994</v>
      </c>
      <c r="F2115" s="1">
        <v>45735</v>
      </c>
      <c r="G2115" s="1">
        <v>45738</v>
      </c>
      <c r="H2115" t="s">
        <v>12</v>
      </c>
      <c r="I2115" t="s">
        <v>25</v>
      </c>
      <c r="J2115">
        <v>4</v>
      </c>
      <c r="K2115" t="s">
        <v>4</v>
      </c>
      <c r="L2115" t="s">
        <v>18</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2202</v>
      </c>
      <c r="B2116" t="s">
        <v>22</v>
      </c>
      <c r="C2116">
        <v>14</v>
      </c>
      <c r="D2116">
        <v>86.9</v>
      </c>
      <c r="E2116">
        <v>1216.6000000000001</v>
      </c>
      <c r="F2116" s="1">
        <v>45735</v>
      </c>
      <c r="G2116" s="1">
        <v>45740</v>
      </c>
      <c r="H2116" t="s">
        <v>12</v>
      </c>
      <c r="I2116" t="s">
        <v>20</v>
      </c>
      <c r="J2116">
        <v>4</v>
      </c>
      <c r="K2116" t="s">
        <v>4</v>
      </c>
      <c r="L2116" t="s">
        <v>18</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2203</v>
      </c>
      <c r="B2117" t="s">
        <v>29</v>
      </c>
      <c r="C2117">
        <v>1</v>
      </c>
      <c r="D2117">
        <v>18.3</v>
      </c>
      <c r="E2117">
        <v>18.3</v>
      </c>
      <c r="F2117" s="1">
        <v>45735</v>
      </c>
      <c r="G2117" s="1">
        <v>45736</v>
      </c>
      <c r="H2117" t="s">
        <v>12</v>
      </c>
      <c r="I2117" t="s">
        <v>3</v>
      </c>
      <c r="J2117">
        <v>4</v>
      </c>
      <c r="K2117" t="s">
        <v>4</v>
      </c>
      <c r="L2117" t="s">
        <v>18</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2204</v>
      </c>
      <c r="B2118" t="s">
        <v>22</v>
      </c>
      <c r="C2118">
        <v>1</v>
      </c>
      <c r="D2118">
        <v>47.5</v>
      </c>
      <c r="E2118">
        <v>47.5</v>
      </c>
      <c r="F2118" s="1">
        <v>45735</v>
      </c>
      <c r="G2118" s="1">
        <v>45739</v>
      </c>
      <c r="H2118" t="s">
        <v>8</v>
      </c>
      <c r="I2118" t="s">
        <v>55</v>
      </c>
      <c r="J2118">
        <v>5</v>
      </c>
      <c r="K2118" t="s">
        <v>4</v>
      </c>
      <c r="L2118" t="s">
        <v>18</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2205</v>
      </c>
      <c r="B2119" t="s">
        <v>7</v>
      </c>
      <c r="C2119">
        <v>2</v>
      </c>
      <c r="D2119">
        <v>78.599999999999994</v>
      </c>
      <c r="E2119">
        <v>157.19999999999999</v>
      </c>
      <c r="F2119" s="1">
        <v>45735</v>
      </c>
      <c r="G2119" s="1">
        <v>45736</v>
      </c>
      <c r="H2119" t="s">
        <v>8</v>
      </c>
      <c r="I2119" t="s">
        <v>25</v>
      </c>
      <c r="J2119">
        <v>5</v>
      </c>
      <c r="K2119" t="s">
        <v>4</v>
      </c>
      <c r="L2119" t="s">
        <v>18</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2206</v>
      </c>
      <c r="B2120" t="s">
        <v>24</v>
      </c>
      <c r="C2120">
        <v>4</v>
      </c>
      <c r="D2120">
        <v>87.3</v>
      </c>
      <c r="E2120">
        <v>349.2</v>
      </c>
      <c r="F2120" s="1">
        <v>45735</v>
      </c>
      <c r="G2120" s="1">
        <v>45736</v>
      </c>
      <c r="H2120" t="s">
        <v>8</v>
      </c>
      <c r="I2120" t="s">
        <v>3</v>
      </c>
      <c r="J2120">
        <v>4</v>
      </c>
      <c r="K2120" t="s">
        <v>4</v>
      </c>
      <c r="L2120" t="s">
        <v>18</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2207</v>
      </c>
      <c r="B2121" t="s">
        <v>31</v>
      </c>
      <c r="C2121">
        <v>2</v>
      </c>
      <c r="D2121">
        <v>63.2</v>
      </c>
      <c r="E2121">
        <v>126.4</v>
      </c>
      <c r="F2121" s="1">
        <v>45735</v>
      </c>
      <c r="G2121" s="1">
        <v>45735</v>
      </c>
      <c r="H2121" t="s">
        <v>8</v>
      </c>
      <c r="I2121" t="s">
        <v>55</v>
      </c>
      <c r="J2121">
        <v>3</v>
      </c>
      <c r="K2121" t="s">
        <v>4</v>
      </c>
      <c r="L2121" t="s">
        <v>18</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2208</v>
      </c>
      <c r="B2122" t="s">
        <v>22</v>
      </c>
      <c r="C2122">
        <v>5</v>
      </c>
      <c r="D2122">
        <v>33.700000000000003</v>
      </c>
      <c r="E2122">
        <v>168.5</v>
      </c>
      <c r="F2122" s="1">
        <v>45735</v>
      </c>
      <c r="G2122" s="1">
        <v>45736</v>
      </c>
      <c r="H2122" t="s">
        <v>12</v>
      </c>
      <c r="I2122" t="s">
        <v>3</v>
      </c>
      <c r="J2122">
        <v>4</v>
      </c>
      <c r="K2122" t="s">
        <v>4</v>
      </c>
      <c r="L2122" t="s">
        <v>18</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2209</v>
      </c>
      <c r="B2123" t="s">
        <v>11</v>
      </c>
      <c r="C2123">
        <v>3</v>
      </c>
      <c r="D2123">
        <v>107.4</v>
      </c>
      <c r="E2123">
        <v>322.20000000000005</v>
      </c>
      <c r="F2123" s="1">
        <v>45735</v>
      </c>
      <c r="G2123" s="1">
        <v>45748</v>
      </c>
      <c r="H2123" t="s">
        <v>12</v>
      </c>
      <c r="I2123" t="s">
        <v>20</v>
      </c>
      <c r="J2123">
        <v>5</v>
      </c>
      <c r="K2123" t="s">
        <v>4</v>
      </c>
      <c r="L2123" t="s">
        <v>18</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2210</v>
      </c>
      <c r="B2124" t="s">
        <v>17</v>
      </c>
      <c r="C2124">
        <v>4</v>
      </c>
      <c r="D2124">
        <v>22.2</v>
      </c>
      <c r="E2124">
        <v>88.8</v>
      </c>
      <c r="F2124" s="1">
        <v>45735</v>
      </c>
      <c r="G2124" s="1">
        <v>45736</v>
      </c>
      <c r="H2124" t="s">
        <v>2</v>
      </c>
      <c r="I2124" t="s">
        <v>20</v>
      </c>
      <c r="J2124">
        <v>5</v>
      </c>
      <c r="K2124" t="s">
        <v>4</v>
      </c>
      <c r="L2124" t="s">
        <v>171</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2211</v>
      </c>
      <c r="B2125" t="s">
        <v>131</v>
      </c>
      <c r="C2125">
        <v>3</v>
      </c>
      <c r="D2125">
        <v>52.8</v>
      </c>
      <c r="E2125">
        <v>158.39999999999998</v>
      </c>
      <c r="F2125" s="1">
        <v>45735</v>
      </c>
      <c r="G2125" s="1">
        <v>45736</v>
      </c>
      <c r="H2125" t="s">
        <v>8</v>
      </c>
      <c r="I2125" t="s">
        <v>36</v>
      </c>
      <c r="J2125">
        <v>5</v>
      </c>
      <c r="K2125" t="s">
        <v>4</v>
      </c>
      <c r="L2125" t="s">
        <v>171</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2212</v>
      </c>
      <c r="B2126" t="s">
        <v>29</v>
      </c>
      <c r="C2126">
        <v>3</v>
      </c>
      <c r="D2126">
        <v>41.5</v>
      </c>
      <c r="E2126">
        <v>124.5</v>
      </c>
      <c r="F2126" s="1">
        <v>45735</v>
      </c>
      <c r="G2126" s="1">
        <v>45738</v>
      </c>
      <c r="H2126" t="s">
        <v>12</v>
      </c>
      <c r="I2126" t="s">
        <v>3</v>
      </c>
      <c r="J2126">
        <v>4</v>
      </c>
      <c r="K2126" t="s">
        <v>4</v>
      </c>
      <c r="L2126" t="s">
        <v>173</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2213</v>
      </c>
      <c r="B2127" t="s">
        <v>54</v>
      </c>
      <c r="C2127">
        <v>8</v>
      </c>
      <c r="D2127">
        <v>103.5</v>
      </c>
      <c r="E2127">
        <v>828</v>
      </c>
      <c r="F2127" s="1">
        <v>45735</v>
      </c>
      <c r="G2127" s="1">
        <v>45738</v>
      </c>
      <c r="H2127" t="s">
        <v>12</v>
      </c>
      <c r="I2127" t="s">
        <v>3</v>
      </c>
      <c r="J2127">
        <v>5</v>
      </c>
      <c r="K2127" t="s">
        <v>4</v>
      </c>
      <c r="L2127" t="s">
        <v>143</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2214</v>
      </c>
      <c r="B2128" t="s">
        <v>17</v>
      </c>
      <c r="C2128">
        <v>14</v>
      </c>
      <c r="D2128">
        <v>37.5</v>
      </c>
      <c r="E2128">
        <v>525</v>
      </c>
      <c r="F2128" s="1">
        <v>45735</v>
      </c>
      <c r="G2128" s="1">
        <v>45735</v>
      </c>
      <c r="H2128" t="s">
        <v>12</v>
      </c>
      <c r="I2128" t="s">
        <v>20</v>
      </c>
      <c r="J2128">
        <v>5</v>
      </c>
      <c r="K2128" t="s">
        <v>4</v>
      </c>
      <c r="L2128" t="s">
        <v>40</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2215</v>
      </c>
      <c r="B2129" t="s">
        <v>108</v>
      </c>
      <c r="C2129">
        <v>8</v>
      </c>
      <c r="D2129">
        <v>44.4</v>
      </c>
      <c r="E2129">
        <v>355.2</v>
      </c>
      <c r="F2129" s="1">
        <v>45735</v>
      </c>
      <c r="G2129" s="1">
        <v>45741</v>
      </c>
      <c r="H2129" t="s">
        <v>12</v>
      </c>
      <c r="I2129" t="s">
        <v>36</v>
      </c>
      <c r="J2129">
        <v>5</v>
      </c>
      <c r="K2129" t="s">
        <v>4</v>
      </c>
      <c r="L2129" t="s">
        <v>44</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2216</v>
      </c>
      <c r="B2130" t="s">
        <v>29</v>
      </c>
      <c r="C2130">
        <v>3</v>
      </c>
      <c r="D2130">
        <v>26.2</v>
      </c>
      <c r="E2130">
        <v>78.599999999999994</v>
      </c>
      <c r="F2130" s="1">
        <v>45735</v>
      </c>
      <c r="G2130" s="1">
        <v>45736</v>
      </c>
      <c r="H2130" t="s">
        <v>8</v>
      </c>
      <c r="I2130" t="s">
        <v>3</v>
      </c>
      <c r="J2130">
        <v>4</v>
      </c>
      <c r="K2130" t="s">
        <v>4</v>
      </c>
      <c r="L2130" t="s">
        <v>47</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2217</v>
      </c>
      <c r="B2131" t="s">
        <v>7</v>
      </c>
      <c r="C2131">
        <v>7</v>
      </c>
      <c r="D2131">
        <v>32.200000000000003</v>
      </c>
      <c r="E2131">
        <v>225.40000000000003</v>
      </c>
      <c r="F2131" s="1">
        <v>45735</v>
      </c>
      <c r="G2131" s="1">
        <v>45736</v>
      </c>
      <c r="H2131" t="s">
        <v>12</v>
      </c>
      <c r="I2131" t="s">
        <v>20</v>
      </c>
      <c r="J2131">
        <v>5</v>
      </c>
      <c r="K2131" t="s">
        <v>4</v>
      </c>
      <c r="L2131" t="s">
        <v>47</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2218</v>
      </c>
      <c r="B2132" t="s">
        <v>29</v>
      </c>
      <c r="C2132">
        <v>1</v>
      </c>
      <c r="D2132">
        <v>17.399999999999999</v>
      </c>
      <c r="E2132">
        <v>17.399999999999999</v>
      </c>
      <c r="F2132" s="1">
        <v>45735</v>
      </c>
      <c r="G2132" s="1">
        <v>45739</v>
      </c>
      <c r="H2132" t="s">
        <v>2</v>
      </c>
      <c r="I2132" t="s">
        <v>25</v>
      </c>
      <c r="J2132">
        <v>3</v>
      </c>
      <c r="K2132" t="s">
        <v>4</v>
      </c>
      <c r="L2132" t="s">
        <v>47</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2219</v>
      </c>
      <c r="B2133" t="s">
        <v>29</v>
      </c>
      <c r="C2133">
        <v>6</v>
      </c>
      <c r="D2133">
        <v>72.3</v>
      </c>
      <c r="E2133">
        <v>433.79999999999995</v>
      </c>
      <c r="F2133" s="1">
        <v>45735</v>
      </c>
      <c r="G2133" s="1">
        <v>45738</v>
      </c>
      <c r="H2133" t="s">
        <v>12</v>
      </c>
      <c r="I2133" t="s">
        <v>3</v>
      </c>
      <c r="J2133">
        <v>4</v>
      </c>
      <c r="K2133" t="s">
        <v>4</v>
      </c>
      <c r="L2133" t="s">
        <v>47</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2220</v>
      </c>
      <c r="B2134" t="s">
        <v>29</v>
      </c>
      <c r="C2134">
        <v>11</v>
      </c>
      <c r="D2134">
        <v>24.3</v>
      </c>
      <c r="E2134">
        <v>267.3</v>
      </c>
      <c r="F2134" s="1">
        <v>45735</v>
      </c>
      <c r="G2134" s="1">
        <v>45736</v>
      </c>
      <c r="H2134" t="s">
        <v>8</v>
      </c>
      <c r="I2134" t="s">
        <v>3</v>
      </c>
      <c r="J2134">
        <v>4</v>
      </c>
      <c r="K2134" t="s">
        <v>4</v>
      </c>
      <c r="L2134" t="s">
        <v>47</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2221</v>
      </c>
      <c r="B2135" t="s">
        <v>61</v>
      </c>
      <c r="C2135">
        <v>3</v>
      </c>
      <c r="D2135">
        <v>49.1</v>
      </c>
      <c r="E2135">
        <v>147.30000000000001</v>
      </c>
      <c r="F2135" s="1">
        <v>45735</v>
      </c>
      <c r="G2135" s="1">
        <v>45741</v>
      </c>
      <c r="H2135" t="s">
        <v>8</v>
      </c>
      <c r="I2135" t="s">
        <v>25</v>
      </c>
      <c r="J2135">
        <v>2</v>
      </c>
      <c r="K2135" t="s">
        <v>4</v>
      </c>
      <c r="L2135" t="s">
        <v>47</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2222</v>
      </c>
      <c r="B2136" t="s">
        <v>11</v>
      </c>
      <c r="C2136">
        <v>10</v>
      </c>
      <c r="D2136">
        <v>234.7</v>
      </c>
      <c r="E2136">
        <v>2347</v>
      </c>
      <c r="F2136" s="1">
        <v>45735</v>
      </c>
      <c r="G2136" s="1">
        <v>45736</v>
      </c>
      <c r="H2136" t="s">
        <v>8</v>
      </c>
      <c r="I2136" t="s">
        <v>36</v>
      </c>
      <c r="J2136">
        <v>3</v>
      </c>
      <c r="K2136" t="s">
        <v>4</v>
      </c>
      <c r="L2136" t="s">
        <v>47</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2223</v>
      </c>
      <c r="B2137" t="s">
        <v>15</v>
      </c>
      <c r="C2137">
        <v>5</v>
      </c>
      <c r="D2137">
        <v>76.099999999999994</v>
      </c>
      <c r="E2137">
        <v>380.5</v>
      </c>
      <c r="F2137" s="1">
        <v>45735</v>
      </c>
      <c r="G2137" s="1">
        <v>45737</v>
      </c>
      <c r="H2137" t="s">
        <v>8</v>
      </c>
      <c r="I2137" t="s">
        <v>20</v>
      </c>
      <c r="J2137">
        <v>3</v>
      </c>
      <c r="K2137" t="s">
        <v>4</v>
      </c>
      <c r="L2137" t="s">
        <v>88</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2224</v>
      </c>
      <c r="B2138" t="s">
        <v>7</v>
      </c>
      <c r="C2138">
        <v>3</v>
      </c>
      <c r="D2138">
        <v>93.9</v>
      </c>
      <c r="E2138">
        <v>281.70000000000005</v>
      </c>
      <c r="F2138" s="1">
        <v>45735</v>
      </c>
      <c r="G2138" s="1">
        <v>45736</v>
      </c>
      <c r="H2138" t="s">
        <v>8</v>
      </c>
      <c r="I2138" t="s">
        <v>20</v>
      </c>
      <c r="J2138">
        <v>2</v>
      </c>
      <c r="K2138" t="s">
        <v>4</v>
      </c>
      <c r="L2138" t="s">
        <v>62</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2225</v>
      </c>
      <c r="B2139" t="s">
        <v>11</v>
      </c>
      <c r="C2139">
        <v>4</v>
      </c>
      <c r="D2139">
        <v>187</v>
      </c>
      <c r="E2139">
        <v>748</v>
      </c>
      <c r="F2139" s="1">
        <v>45736</v>
      </c>
      <c r="G2139" s="1">
        <v>45739</v>
      </c>
      <c r="H2139" t="s">
        <v>8</v>
      </c>
      <c r="I2139" t="s">
        <v>3</v>
      </c>
      <c r="J2139">
        <v>4</v>
      </c>
      <c r="K2139" t="s">
        <v>4</v>
      </c>
      <c r="L2139" t="s">
        <v>62</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2226</v>
      </c>
      <c r="B2140" t="s">
        <v>29</v>
      </c>
      <c r="C2140">
        <v>2</v>
      </c>
      <c r="D2140">
        <v>18</v>
      </c>
      <c r="E2140">
        <v>36</v>
      </c>
      <c r="F2140" s="1">
        <v>45736</v>
      </c>
      <c r="G2140" s="1">
        <v>45737</v>
      </c>
      <c r="H2140" t="s">
        <v>12</v>
      </c>
      <c r="I2140" t="s">
        <v>20</v>
      </c>
      <c r="J2140">
        <v>5</v>
      </c>
      <c r="K2140" t="s">
        <v>4</v>
      </c>
      <c r="L2140" t="s">
        <v>1101</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2227</v>
      </c>
      <c r="B2141" t="s">
        <v>17</v>
      </c>
      <c r="C2141">
        <v>1</v>
      </c>
      <c r="D2141">
        <v>24.4</v>
      </c>
      <c r="E2141">
        <v>24.4</v>
      </c>
      <c r="F2141" s="1">
        <v>45736</v>
      </c>
      <c r="G2141" s="1">
        <v>45737</v>
      </c>
      <c r="H2141" t="s">
        <v>12</v>
      </c>
      <c r="I2141" t="s">
        <v>55</v>
      </c>
      <c r="J2141">
        <v>5</v>
      </c>
      <c r="K2141" t="s">
        <v>4</v>
      </c>
      <c r="L2141" t="s">
        <v>100</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2228</v>
      </c>
      <c r="B2142" t="s">
        <v>39</v>
      </c>
      <c r="C2142">
        <v>2</v>
      </c>
      <c r="D2142">
        <v>38.799999999999997</v>
      </c>
      <c r="E2142">
        <v>77.599999999999994</v>
      </c>
      <c r="F2142" s="1">
        <v>45736</v>
      </c>
      <c r="G2142" s="1">
        <v>45737</v>
      </c>
      <c r="H2142" t="s">
        <v>8</v>
      </c>
      <c r="I2142" t="s">
        <v>55</v>
      </c>
      <c r="J2142">
        <v>3</v>
      </c>
      <c r="K2142" t="s">
        <v>4</v>
      </c>
      <c r="L2142" t="s">
        <v>18</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2229</v>
      </c>
      <c r="B2143" t="s">
        <v>15</v>
      </c>
      <c r="C2143">
        <v>1</v>
      </c>
      <c r="D2143">
        <v>59.7</v>
      </c>
      <c r="E2143">
        <v>59.7</v>
      </c>
      <c r="F2143" s="1">
        <v>45736</v>
      </c>
      <c r="G2143" s="1">
        <v>45739</v>
      </c>
      <c r="H2143" t="s">
        <v>8</v>
      </c>
      <c r="I2143" t="s">
        <v>36</v>
      </c>
      <c r="J2143">
        <v>4</v>
      </c>
      <c r="K2143" t="s">
        <v>4</v>
      </c>
      <c r="L2143" t="s">
        <v>18</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2230</v>
      </c>
      <c r="B2144" t="s">
        <v>27</v>
      </c>
      <c r="C2144">
        <v>1</v>
      </c>
      <c r="D2144">
        <v>31.2</v>
      </c>
      <c r="E2144">
        <v>31.2</v>
      </c>
      <c r="F2144" s="1">
        <v>45736</v>
      </c>
      <c r="G2144" s="1">
        <v>45737</v>
      </c>
      <c r="H2144" t="s">
        <v>8</v>
      </c>
      <c r="I2144" t="s">
        <v>20</v>
      </c>
      <c r="J2144">
        <v>5</v>
      </c>
      <c r="K2144" t="s">
        <v>4</v>
      </c>
      <c r="L2144" t="s">
        <v>18</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2231</v>
      </c>
      <c r="B2145" t="s">
        <v>1</v>
      </c>
      <c r="C2145">
        <v>1</v>
      </c>
      <c r="D2145">
        <v>16.8</v>
      </c>
      <c r="E2145">
        <v>16.8</v>
      </c>
      <c r="F2145" s="1">
        <v>45736</v>
      </c>
      <c r="G2145" s="1">
        <v>45737</v>
      </c>
      <c r="H2145" t="s">
        <v>12</v>
      </c>
      <c r="I2145" t="s">
        <v>25</v>
      </c>
      <c r="J2145">
        <v>3</v>
      </c>
      <c r="K2145" t="s">
        <v>4</v>
      </c>
      <c r="L2145" t="s">
        <v>18</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2232</v>
      </c>
      <c r="B2146" t="s">
        <v>29</v>
      </c>
      <c r="C2146">
        <v>1</v>
      </c>
      <c r="D2146">
        <v>46</v>
      </c>
      <c r="E2146">
        <v>46</v>
      </c>
      <c r="F2146" s="1">
        <v>45736</v>
      </c>
      <c r="G2146" s="1">
        <v>45737</v>
      </c>
      <c r="H2146" t="s">
        <v>8</v>
      </c>
      <c r="I2146" t="s">
        <v>3</v>
      </c>
      <c r="J2146">
        <v>4</v>
      </c>
      <c r="K2146" t="s">
        <v>4</v>
      </c>
      <c r="L2146" t="s">
        <v>18</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2233</v>
      </c>
      <c r="B2147" t="s">
        <v>31</v>
      </c>
      <c r="C2147">
        <v>8</v>
      </c>
      <c r="D2147">
        <v>42.2</v>
      </c>
      <c r="E2147">
        <v>337.6</v>
      </c>
      <c r="F2147" s="1">
        <v>45736</v>
      </c>
      <c r="G2147" s="1">
        <v>45739</v>
      </c>
      <c r="H2147" t="s">
        <v>12</v>
      </c>
      <c r="I2147" t="s">
        <v>36</v>
      </c>
      <c r="J2147">
        <v>5</v>
      </c>
      <c r="K2147" t="s">
        <v>4</v>
      </c>
      <c r="L2147" t="s">
        <v>18</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2234</v>
      </c>
      <c r="B2148" t="s">
        <v>7</v>
      </c>
      <c r="C2148">
        <v>3</v>
      </c>
      <c r="D2148">
        <v>71.5</v>
      </c>
      <c r="E2148">
        <v>214.5</v>
      </c>
      <c r="F2148" s="1">
        <v>45736</v>
      </c>
      <c r="G2148" s="1">
        <v>45750</v>
      </c>
      <c r="H2148" t="s">
        <v>12</v>
      </c>
      <c r="I2148" t="s">
        <v>3</v>
      </c>
      <c r="J2148">
        <v>4</v>
      </c>
      <c r="K2148" t="s">
        <v>4</v>
      </c>
      <c r="L2148" t="s">
        <v>18</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2235</v>
      </c>
      <c r="B2149" t="s">
        <v>7</v>
      </c>
      <c r="C2149">
        <v>2</v>
      </c>
      <c r="D2149">
        <v>76.599999999999994</v>
      </c>
      <c r="E2149">
        <v>153.19999999999999</v>
      </c>
      <c r="F2149" s="1">
        <v>45736</v>
      </c>
      <c r="G2149" s="1">
        <v>45736</v>
      </c>
      <c r="H2149" t="s">
        <v>8</v>
      </c>
      <c r="I2149" t="s">
        <v>3</v>
      </c>
      <c r="J2149">
        <v>5</v>
      </c>
      <c r="K2149" t="s">
        <v>4</v>
      </c>
      <c r="L2149" t="s">
        <v>18</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2236</v>
      </c>
      <c r="B2150" t="s">
        <v>54</v>
      </c>
      <c r="C2150">
        <v>2</v>
      </c>
      <c r="D2150">
        <v>87.3</v>
      </c>
      <c r="E2150">
        <v>174.6</v>
      </c>
      <c r="F2150" s="1">
        <v>45736</v>
      </c>
      <c r="G2150" s="1">
        <v>45744</v>
      </c>
      <c r="H2150" t="s">
        <v>12</v>
      </c>
      <c r="I2150" t="s">
        <v>36</v>
      </c>
      <c r="J2150">
        <v>5</v>
      </c>
      <c r="K2150" t="s">
        <v>4</v>
      </c>
      <c r="L2150" t="s">
        <v>18</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2237</v>
      </c>
      <c r="B2151" t="s">
        <v>7</v>
      </c>
      <c r="C2151">
        <v>1</v>
      </c>
      <c r="D2151">
        <v>63</v>
      </c>
      <c r="E2151">
        <v>63</v>
      </c>
      <c r="F2151" s="1">
        <v>45736</v>
      </c>
      <c r="G2151" s="1">
        <v>45739</v>
      </c>
      <c r="H2151" t="s">
        <v>8</v>
      </c>
      <c r="I2151" t="s">
        <v>36</v>
      </c>
      <c r="J2151">
        <v>4</v>
      </c>
      <c r="K2151" t="s">
        <v>4</v>
      </c>
      <c r="L2151" t="s">
        <v>18</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2238</v>
      </c>
      <c r="B2152" t="s">
        <v>29</v>
      </c>
      <c r="C2152">
        <v>2</v>
      </c>
      <c r="D2152">
        <v>41.7</v>
      </c>
      <c r="E2152">
        <v>83.4</v>
      </c>
      <c r="F2152" s="1">
        <v>45736</v>
      </c>
      <c r="G2152" s="1">
        <v>45737</v>
      </c>
      <c r="H2152" t="s">
        <v>12</v>
      </c>
      <c r="I2152" t="s">
        <v>55</v>
      </c>
      <c r="J2152">
        <v>3</v>
      </c>
      <c r="K2152" t="s">
        <v>4</v>
      </c>
      <c r="L2152" t="s">
        <v>530</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2239</v>
      </c>
      <c r="B2153" t="s">
        <v>24</v>
      </c>
      <c r="C2153">
        <v>2</v>
      </c>
      <c r="D2153">
        <v>76.099999999999994</v>
      </c>
      <c r="E2153">
        <v>152.19999999999999</v>
      </c>
      <c r="F2153" s="1">
        <v>45736</v>
      </c>
      <c r="G2153" s="1">
        <v>45736</v>
      </c>
      <c r="H2153" t="s">
        <v>12</v>
      </c>
      <c r="I2153" t="s">
        <v>55</v>
      </c>
      <c r="J2153">
        <v>5</v>
      </c>
      <c r="K2153" t="s">
        <v>4</v>
      </c>
      <c r="L2153" t="s">
        <v>83</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2240</v>
      </c>
      <c r="B2154" t="s">
        <v>61</v>
      </c>
      <c r="C2154">
        <v>2</v>
      </c>
      <c r="D2154">
        <v>28.5</v>
      </c>
      <c r="E2154">
        <v>57</v>
      </c>
      <c r="F2154" s="1">
        <v>45736</v>
      </c>
      <c r="G2154" s="1">
        <v>45737</v>
      </c>
      <c r="H2154" t="s">
        <v>12</v>
      </c>
      <c r="I2154" t="s">
        <v>3</v>
      </c>
      <c r="J2154">
        <v>5</v>
      </c>
      <c r="K2154" t="s">
        <v>4</v>
      </c>
      <c r="L2154" t="s">
        <v>34</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2241</v>
      </c>
      <c r="B2155" t="s">
        <v>1</v>
      </c>
      <c r="C2155">
        <v>4</v>
      </c>
      <c r="D2155">
        <v>32.1</v>
      </c>
      <c r="E2155">
        <v>128.4</v>
      </c>
      <c r="F2155" s="1">
        <v>45736</v>
      </c>
      <c r="G2155" s="1">
        <v>45737</v>
      </c>
      <c r="H2155" t="s">
        <v>12</v>
      </c>
      <c r="I2155" t="s">
        <v>20</v>
      </c>
      <c r="J2155">
        <v>5</v>
      </c>
      <c r="K2155" t="s">
        <v>4</v>
      </c>
      <c r="L2155" t="s">
        <v>173</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2242</v>
      </c>
      <c r="B2156" t="s">
        <v>17</v>
      </c>
      <c r="C2156">
        <v>3</v>
      </c>
      <c r="D2156">
        <v>39</v>
      </c>
      <c r="E2156">
        <v>117</v>
      </c>
      <c r="F2156" s="1">
        <v>45736</v>
      </c>
      <c r="G2156" s="1">
        <v>45739</v>
      </c>
      <c r="H2156" t="s">
        <v>8</v>
      </c>
      <c r="I2156" t="s">
        <v>20</v>
      </c>
      <c r="J2156">
        <v>5</v>
      </c>
      <c r="K2156" t="s">
        <v>4</v>
      </c>
      <c r="L2156" t="s">
        <v>173</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2243</v>
      </c>
      <c r="B2157" t="s">
        <v>24</v>
      </c>
      <c r="C2157">
        <v>1</v>
      </c>
      <c r="D2157">
        <v>78.5</v>
      </c>
      <c r="E2157">
        <v>78.5</v>
      </c>
      <c r="F2157" s="1">
        <v>45736</v>
      </c>
      <c r="G2157" s="1">
        <v>45737</v>
      </c>
      <c r="H2157" t="s">
        <v>8</v>
      </c>
      <c r="I2157" t="s">
        <v>20</v>
      </c>
      <c r="J2157">
        <v>4</v>
      </c>
      <c r="K2157" t="s">
        <v>4</v>
      </c>
      <c r="L2157" t="s">
        <v>40</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2244</v>
      </c>
      <c r="B2158" t="s">
        <v>17</v>
      </c>
      <c r="C2158">
        <v>5</v>
      </c>
      <c r="D2158">
        <v>49.7</v>
      </c>
      <c r="E2158">
        <v>248.5</v>
      </c>
      <c r="F2158" s="1">
        <v>45736</v>
      </c>
      <c r="G2158" s="1">
        <v>45738</v>
      </c>
      <c r="H2158" t="s">
        <v>12</v>
      </c>
      <c r="I2158" t="s">
        <v>3</v>
      </c>
      <c r="J2158">
        <v>4</v>
      </c>
      <c r="K2158" t="s">
        <v>4</v>
      </c>
      <c r="L2158" t="s">
        <v>40</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2245</v>
      </c>
      <c r="B2159" t="s">
        <v>7</v>
      </c>
      <c r="C2159">
        <v>4</v>
      </c>
      <c r="D2159">
        <v>68.400000000000006</v>
      </c>
      <c r="E2159">
        <v>273.60000000000002</v>
      </c>
      <c r="F2159" s="1">
        <v>45736</v>
      </c>
      <c r="G2159" s="1">
        <v>45737</v>
      </c>
      <c r="H2159" t="s">
        <v>12</v>
      </c>
      <c r="I2159" t="s">
        <v>25</v>
      </c>
      <c r="J2159">
        <v>5</v>
      </c>
      <c r="K2159" t="s">
        <v>4</v>
      </c>
      <c r="L2159" t="s">
        <v>44</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2246</v>
      </c>
      <c r="B2160" t="s">
        <v>15</v>
      </c>
      <c r="C2160">
        <v>2</v>
      </c>
      <c r="D2160">
        <v>72.900000000000006</v>
      </c>
      <c r="E2160">
        <v>145.80000000000001</v>
      </c>
      <c r="F2160" s="1">
        <v>45736</v>
      </c>
      <c r="G2160" s="1">
        <v>45739</v>
      </c>
      <c r="H2160" t="s">
        <v>2</v>
      </c>
      <c r="I2160" t="s">
        <v>3</v>
      </c>
      <c r="J2160">
        <v>5</v>
      </c>
      <c r="K2160" t="s">
        <v>4</v>
      </c>
      <c r="L2160" t="s">
        <v>44</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2247</v>
      </c>
      <c r="B2161" t="s">
        <v>22</v>
      </c>
      <c r="C2161">
        <v>13</v>
      </c>
      <c r="D2161">
        <v>30.3</v>
      </c>
      <c r="E2161">
        <v>393.90000000000003</v>
      </c>
      <c r="F2161" s="1">
        <v>45736</v>
      </c>
      <c r="G2161" s="1">
        <v>45737</v>
      </c>
      <c r="H2161" t="s">
        <v>8</v>
      </c>
      <c r="I2161" t="s">
        <v>55</v>
      </c>
      <c r="J2161">
        <v>4</v>
      </c>
      <c r="K2161" t="s">
        <v>4</v>
      </c>
      <c r="L2161" t="s">
        <v>44</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2248</v>
      </c>
      <c r="B2162" t="s">
        <v>24</v>
      </c>
      <c r="C2162">
        <v>11</v>
      </c>
      <c r="D2162">
        <v>57.9</v>
      </c>
      <c r="E2162">
        <v>636.9</v>
      </c>
      <c r="F2162" s="1">
        <v>45736</v>
      </c>
      <c r="G2162" s="1">
        <v>45737</v>
      </c>
      <c r="H2162" t="s">
        <v>12</v>
      </c>
      <c r="I2162" t="s">
        <v>3</v>
      </c>
      <c r="J2162">
        <v>4</v>
      </c>
      <c r="K2162" t="s">
        <v>4</v>
      </c>
      <c r="L2162" t="s">
        <v>47</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2249</v>
      </c>
      <c r="B2163" t="s">
        <v>7</v>
      </c>
      <c r="C2163">
        <v>1</v>
      </c>
      <c r="D2163">
        <v>96.7</v>
      </c>
      <c r="E2163">
        <v>96.7</v>
      </c>
      <c r="F2163" s="1">
        <v>45736</v>
      </c>
      <c r="G2163" s="1">
        <v>45737</v>
      </c>
      <c r="H2163" t="s">
        <v>8</v>
      </c>
      <c r="I2163" t="s">
        <v>3</v>
      </c>
      <c r="J2163">
        <v>4</v>
      </c>
      <c r="K2163" t="s">
        <v>4</v>
      </c>
      <c r="L2163" t="s">
        <v>47</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2250</v>
      </c>
      <c r="B2164" t="s">
        <v>29</v>
      </c>
      <c r="C2164">
        <v>12</v>
      </c>
      <c r="D2164">
        <v>27.6</v>
      </c>
      <c r="E2164">
        <v>331.20000000000005</v>
      </c>
      <c r="F2164" s="1">
        <v>45736</v>
      </c>
      <c r="G2164" s="1">
        <v>45738</v>
      </c>
      <c r="H2164" t="s">
        <v>8</v>
      </c>
      <c r="I2164" t="s">
        <v>25</v>
      </c>
      <c r="J2164">
        <v>5</v>
      </c>
      <c r="K2164" t="s">
        <v>4</v>
      </c>
      <c r="L2164" t="s">
        <v>47</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2251</v>
      </c>
      <c r="B2165" t="s">
        <v>24</v>
      </c>
      <c r="C2165">
        <v>4</v>
      </c>
      <c r="D2165">
        <v>64.7</v>
      </c>
      <c r="E2165">
        <v>258.8</v>
      </c>
      <c r="F2165" s="1">
        <v>45736</v>
      </c>
      <c r="G2165" s="1">
        <v>45736</v>
      </c>
      <c r="H2165" t="s">
        <v>8</v>
      </c>
      <c r="I2165" t="s">
        <v>36</v>
      </c>
      <c r="J2165">
        <v>5</v>
      </c>
      <c r="K2165" t="s">
        <v>4</v>
      </c>
      <c r="L2165" t="s">
        <v>47</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2252</v>
      </c>
      <c r="B2166" t="s">
        <v>39</v>
      </c>
      <c r="C2166">
        <v>6</v>
      </c>
      <c r="D2166">
        <v>30.5</v>
      </c>
      <c r="E2166">
        <v>183</v>
      </c>
      <c r="F2166" s="1">
        <v>45736</v>
      </c>
      <c r="G2166" s="1">
        <v>45737</v>
      </c>
      <c r="H2166" t="s">
        <v>8</v>
      </c>
      <c r="I2166" t="s">
        <v>55</v>
      </c>
      <c r="J2166">
        <v>4</v>
      </c>
      <c r="K2166" t="s">
        <v>4</v>
      </c>
      <c r="L2166" t="s">
        <v>47</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2253</v>
      </c>
      <c r="B2167" t="s">
        <v>24</v>
      </c>
      <c r="C2167">
        <v>70</v>
      </c>
      <c r="D2167">
        <v>106</v>
      </c>
      <c r="E2167">
        <v>7420</v>
      </c>
      <c r="F2167" s="1">
        <v>45737</v>
      </c>
      <c r="G2167" s="1">
        <v>45739</v>
      </c>
      <c r="H2167" t="s">
        <v>8</v>
      </c>
      <c r="I2167" t="s">
        <v>55</v>
      </c>
      <c r="J2167">
        <v>5</v>
      </c>
      <c r="K2167" t="s">
        <v>4</v>
      </c>
      <c r="L2167" t="s">
        <v>47</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2254</v>
      </c>
      <c r="B2168" t="s">
        <v>54</v>
      </c>
      <c r="C2168">
        <v>5</v>
      </c>
      <c r="D2168">
        <v>76.8</v>
      </c>
      <c r="E2168">
        <v>384</v>
      </c>
      <c r="F2168" s="1">
        <v>45737</v>
      </c>
      <c r="G2168" s="1">
        <v>45743</v>
      </c>
      <c r="H2168" t="s">
        <v>2</v>
      </c>
      <c r="I2168" t="s">
        <v>20</v>
      </c>
      <c r="J2168">
        <v>3</v>
      </c>
      <c r="K2168" t="s">
        <v>4</v>
      </c>
      <c r="L2168" t="s">
        <v>93</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2255</v>
      </c>
      <c r="B2169" t="s">
        <v>24</v>
      </c>
      <c r="C2169">
        <v>2</v>
      </c>
      <c r="D2169">
        <v>80.400000000000006</v>
      </c>
      <c r="E2169">
        <v>160.80000000000001</v>
      </c>
      <c r="F2169" s="1">
        <v>45737</v>
      </c>
      <c r="G2169" s="1">
        <v>45738</v>
      </c>
      <c r="H2169" t="s">
        <v>12</v>
      </c>
      <c r="I2169" t="s">
        <v>25</v>
      </c>
      <c r="J2169">
        <v>4</v>
      </c>
      <c r="K2169" t="s">
        <v>4</v>
      </c>
      <c r="L2169" t="s">
        <v>67</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2256</v>
      </c>
      <c r="B2170" t="s">
        <v>24</v>
      </c>
      <c r="C2170">
        <v>4</v>
      </c>
      <c r="D2170">
        <v>69.099999999999994</v>
      </c>
      <c r="E2170">
        <v>276.39999999999998</v>
      </c>
      <c r="F2170" s="1">
        <v>45737</v>
      </c>
      <c r="G2170" s="1">
        <v>45738</v>
      </c>
      <c r="H2170" t="s">
        <v>8</v>
      </c>
      <c r="I2170" t="s">
        <v>20</v>
      </c>
      <c r="J2170">
        <v>5</v>
      </c>
      <c r="K2170" t="s">
        <v>4</v>
      </c>
      <c r="L2170" t="s">
        <v>100</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2257</v>
      </c>
      <c r="B2171" t="s">
        <v>131</v>
      </c>
      <c r="C2171">
        <v>2</v>
      </c>
      <c r="D2171">
        <v>76.400000000000006</v>
      </c>
      <c r="E2171">
        <v>152.80000000000001</v>
      </c>
      <c r="F2171" s="1">
        <v>45737</v>
      </c>
      <c r="G2171" s="1">
        <v>45737</v>
      </c>
      <c r="H2171" t="s">
        <v>8</v>
      </c>
      <c r="I2171" t="s">
        <v>36</v>
      </c>
      <c r="J2171">
        <v>4</v>
      </c>
      <c r="K2171" t="s">
        <v>4</v>
      </c>
      <c r="L2171" t="s">
        <v>100</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2258</v>
      </c>
      <c r="B2172" t="s">
        <v>11</v>
      </c>
      <c r="C2172">
        <v>2</v>
      </c>
      <c r="D2172">
        <v>61.3</v>
      </c>
      <c r="E2172">
        <v>122.6</v>
      </c>
      <c r="F2172" s="1">
        <v>45737</v>
      </c>
      <c r="G2172" s="1">
        <v>45738</v>
      </c>
      <c r="H2172" t="s">
        <v>12</v>
      </c>
      <c r="I2172" t="s">
        <v>20</v>
      </c>
      <c r="J2172">
        <v>3</v>
      </c>
      <c r="K2172" t="s">
        <v>4</v>
      </c>
      <c r="L2172" t="s">
        <v>100</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2259</v>
      </c>
      <c r="B2173" t="s">
        <v>27</v>
      </c>
      <c r="C2173">
        <v>1</v>
      </c>
      <c r="D2173">
        <v>58</v>
      </c>
      <c r="E2173">
        <v>58</v>
      </c>
      <c r="F2173" s="1">
        <v>45737</v>
      </c>
      <c r="G2173" s="1">
        <v>45738</v>
      </c>
      <c r="H2173" t="s">
        <v>8</v>
      </c>
      <c r="I2173" t="s">
        <v>36</v>
      </c>
      <c r="J2173">
        <v>3</v>
      </c>
      <c r="K2173" t="s">
        <v>4</v>
      </c>
      <c r="L2173" t="s">
        <v>9</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2260</v>
      </c>
      <c r="B2174" t="s">
        <v>11</v>
      </c>
      <c r="C2174">
        <v>8</v>
      </c>
      <c r="D2174">
        <v>102.3</v>
      </c>
      <c r="E2174">
        <v>818.4</v>
      </c>
      <c r="F2174" s="1">
        <v>45737</v>
      </c>
      <c r="G2174" s="1">
        <v>45739</v>
      </c>
      <c r="H2174" t="s">
        <v>8</v>
      </c>
      <c r="I2174" t="s">
        <v>25</v>
      </c>
      <c r="J2174">
        <v>4</v>
      </c>
      <c r="K2174" t="s">
        <v>4</v>
      </c>
      <c r="L2174" t="s">
        <v>422</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2261</v>
      </c>
      <c r="B2175" t="s">
        <v>156</v>
      </c>
      <c r="C2175">
        <v>2</v>
      </c>
      <c r="D2175">
        <v>13.8</v>
      </c>
      <c r="E2175">
        <v>27.6</v>
      </c>
      <c r="F2175" s="1">
        <v>45737</v>
      </c>
      <c r="G2175" s="1">
        <v>45738</v>
      </c>
      <c r="H2175" t="s">
        <v>12</v>
      </c>
      <c r="I2175" t="s">
        <v>55</v>
      </c>
      <c r="J2175">
        <v>5</v>
      </c>
      <c r="K2175" t="s">
        <v>4</v>
      </c>
      <c r="L2175" t="s">
        <v>13</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2262</v>
      </c>
      <c r="B2176" t="s">
        <v>29</v>
      </c>
      <c r="C2176">
        <v>3</v>
      </c>
      <c r="D2176">
        <v>33.299999999999997</v>
      </c>
      <c r="E2176">
        <v>99.899999999999991</v>
      </c>
      <c r="F2176" s="1">
        <v>45737</v>
      </c>
      <c r="G2176" s="1">
        <v>45740</v>
      </c>
      <c r="H2176" t="s">
        <v>12</v>
      </c>
      <c r="I2176" t="s">
        <v>25</v>
      </c>
      <c r="J2176">
        <v>4</v>
      </c>
      <c r="K2176" t="s">
        <v>4</v>
      </c>
      <c r="L2176" t="s">
        <v>132</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2263</v>
      </c>
      <c r="B2177" t="s">
        <v>39</v>
      </c>
      <c r="C2177">
        <v>1</v>
      </c>
      <c r="D2177">
        <v>27.4</v>
      </c>
      <c r="E2177">
        <v>27.4</v>
      </c>
      <c r="F2177" s="1">
        <v>45737</v>
      </c>
      <c r="G2177" s="1">
        <v>45740</v>
      </c>
      <c r="H2177" t="s">
        <v>8</v>
      </c>
      <c r="I2177" t="s">
        <v>3</v>
      </c>
      <c r="J2177">
        <v>5</v>
      </c>
      <c r="K2177" t="s">
        <v>4</v>
      </c>
      <c r="L2177" t="s">
        <v>132</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2264</v>
      </c>
      <c r="B2178" t="s">
        <v>66</v>
      </c>
      <c r="C2178">
        <v>2</v>
      </c>
      <c r="D2178">
        <v>25.6</v>
      </c>
      <c r="E2178">
        <v>51.2</v>
      </c>
      <c r="F2178" s="1">
        <v>45737</v>
      </c>
      <c r="G2178" s="1">
        <v>45738</v>
      </c>
      <c r="H2178" t="s">
        <v>12</v>
      </c>
      <c r="I2178" t="s">
        <v>20</v>
      </c>
      <c r="J2178">
        <v>3</v>
      </c>
      <c r="K2178" t="s">
        <v>4</v>
      </c>
      <c r="L2178" t="s">
        <v>18</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2265</v>
      </c>
      <c r="B2179" t="s">
        <v>61</v>
      </c>
      <c r="C2179">
        <v>1</v>
      </c>
      <c r="D2179">
        <v>58.4</v>
      </c>
      <c r="E2179">
        <v>58.4</v>
      </c>
      <c r="F2179" s="1">
        <v>45737</v>
      </c>
      <c r="G2179" s="1">
        <v>45738</v>
      </c>
      <c r="H2179" t="s">
        <v>12</v>
      </c>
      <c r="I2179" t="s">
        <v>25</v>
      </c>
      <c r="J2179">
        <v>5</v>
      </c>
      <c r="K2179" t="s">
        <v>4</v>
      </c>
      <c r="L2179" t="s">
        <v>18</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2266</v>
      </c>
      <c r="B2180" t="s">
        <v>52</v>
      </c>
      <c r="C2180">
        <v>30</v>
      </c>
      <c r="D2180">
        <v>27</v>
      </c>
      <c r="E2180">
        <v>810</v>
      </c>
      <c r="F2180" s="1">
        <v>45737</v>
      </c>
      <c r="G2180" s="1">
        <v>45738</v>
      </c>
      <c r="H2180" t="s">
        <v>12</v>
      </c>
      <c r="I2180" t="s">
        <v>55</v>
      </c>
      <c r="J2180">
        <v>4</v>
      </c>
      <c r="K2180" t="s">
        <v>4</v>
      </c>
      <c r="L2180" t="s">
        <v>18</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2267</v>
      </c>
      <c r="B2181" t="s">
        <v>1</v>
      </c>
      <c r="C2181">
        <v>4</v>
      </c>
      <c r="D2181">
        <v>14.2</v>
      </c>
      <c r="E2181">
        <v>56.8</v>
      </c>
      <c r="F2181" s="1">
        <v>45737</v>
      </c>
      <c r="G2181" s="1">
        <v>45738</v>
      </c>
      <c r="H2181" t="s">
        <v>8</v>
      </c>
      <c r="I2181" t="s">
        <v>3</v>
      </c>
      <c r="J2181">
        <v>5</v>
      </c>
      <c r="K2181" t="s">
        <v>4</v>
      </c>
      <c r="L2181" t="s">
        <v>18</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2268</v>
      </c>
      <c r="B2182" t="s">
        <v>27</v>
      </c>
      <c r="C2182">
        <v>2</v>
      </c>
      <c r="D2182">
        <v>68</v>
      </c>
      <c r="E2182">
        <v>136</v>
      </c>
      <c r="F2182" s="1">
        <v>45737</v>
      </c>
      <c r="G2182" s="1">
        <v>45747</v>
      </c>
      <c r="H2182" t="s">
        <v>8</v>
      </c>
      <c r="I2182" t="s">
        <v>25</v>
      </c>
      <c r="J2182">
        <v>3</v>
      </c>
      <c r="K2182" t="s">
        <v>4</v>
      </c>
      <c r="L2182" t="s">
        <v>18</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2269</v>
      </c>
      <c r="B2183" t="s">
        <v>29</v>
      </c>
      <c r="C2183">
        <v>1</v>
      </c>
      <c r="D2183">
        <v>30.7</v>
      </c>
      <c r="E2183">
        <v>30.7</v>
      </c>
      <c r="F2183" s="1">
        <v>45737</v>
      </c>
      <c r="G2183" s="1">
        <v>45738</v>
      </c>
      <c r="H2183" t="s">
        <v>8</v>
      </c>
      <c r="I2183" t="s">
        <v>3</v>
      </c>
      <c r="J2183">
        <v>4</v>
      </c>
      <c r="K2183" t="s">
        <v>4</v>
      </c>
      <c r="L2183" t="s">
        <v>18</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2270</v>
      </c>
      <c r="B2184" t="s">
        <v>120</v>
      </c>
      <c r="C2184">
        <v>13</v>
      </c>
      <c r="D2184">
        <v>51.6</v>
      </c>
      <c r="E2184">
        <v>670.80000000000007</v>
      </c>
      <c r="F2184" s="1">
        <v>45737</v>
      </c>
      <c r="G2184" s="1">
        <v>45740</v>
      </c>
      <c r="H2184" t="s">
        <v>74</v>
      </c>
      <c r="I2184" t="s">
        <v>20</v>
      </c>
      <c r="J2184">
        <v>5</v>
      </c>
      <c r="K2184" t="s">
        <v>4</v>
      </c>
      <c r="L2184" t="s">
        <v>18</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2271</v>
      </c>
      <c r="B2185" t="s">
        <v>29</v>
      </c>
      <c r="C2185">
        <v>3</v>
      </c>
      <c r="D2185">
        <v>20.6</v>
      </c>
      <c r="E2185">
        <v>61.800000000000004</v>
      </c>
      <c r="F2185" s="1">
        <v>45737</v>
      </c>
      <c r="G2185" s="1">
        <v>45741</v>
      </c>
      <c r="H2185" t="s">
        <v>12</v>
      </c>
      <c r="I2185" t="s">
        <v>55</v>
      </c>
      <c r="J2185">
        <v>5</v>
      </c>
      <c r="K2185" t="s">
        <v>4</v>
      </c>
      <c r="L2185" t="s">
        <v>18</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2272</v>
      </c>
      <c r="B2186" t="s">
        <v>29</v>
      </c>
      <c r="C2186">
        <v>1</v>
      </c>
      <c r="D2186">
        <v>24.8</v>
      </c>
      <c r="E2186">
        <v>24.8</v>
      </c>
      <c r="F2186" s="1">
        <v>45737</v>
      </c>
      <c r="G2186" s="1">
        <v>45738</v>
      </c>
      <c r="H2186" t="s">
        <v>8</v>
      </c>
      <c r="I2186" t="s">
        <v>55</v>
      </c>
      <c r="J2186">
        <v>4</v>
      </c>
      <c r="K2186" t="s">
        <v>4</v>
      </c>
      <c r="L2186" t="s">
        <v>18</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2273</v>
      </c>
      <c r="B2187" t="s">
        <v>1</v>
      </c>
      <c r="C2187">
        <v>7</v>
      </c>
      <c r="D2187">
        <v>11.2</v>
      </c>
      <c r="E2187">
        <v>78.399999999999991</v>
      </c>
      <c r="F2187" s="1">
        <v>45737</v>
      </c>
      <c r="G2187" s="1">
        <v>45740</v>
      </c>
      <c r="H2187" t="s">
        <v>8</v>
      </c>
      <c r="I2187" t="s">
        <v>20</v>
      </c>
      <c r="J2187">
        <v>4</v>
      </c>
      <c r="K2187" t="s">
        <v>4</v>
      </c>
      <c r="L2187" t="s">
        <v>18</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2274</v>
      </c>
      <c r="B2188" t="s">
        <v>52</v>
      </c>
      <c r="C2188">
        <v>2</v>
      </c>
      <c r="D2188">
        <v>51.2</v>
      </c>
      <c r="E2188">
        <v>102.4</v>
      </c>
      <c r="F2188" s="1">
        <v>45737</v>
      </c>
      <c r="G2188" s="1">
        <v>45738</v>
      </c>
      <c r="H2188" t="s">
        <v>12</v>
      </c>
      <c r="I2188" t="s">
        <v>20</v>
      </c>
      <c r="J2188">
        <v>5</v>
      </c>
      <c r="K2188" t="s">
        <v>4</v>
      </c>
      <c r="L2188" t="s">
        <v>18</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2275</v>
      </c>
      <c r="B2189" t="s">
        <v>27</v>
      </c>
      <c r="C2189">
        <v>6</v>
      </c>
      <c r="D2189">
        <v>90.5</v>
      </c>
      <c r="E2189">
        <v>543</v>
      </c>
      <c r="F2189" s="1">
        <v>45737</v>
      </c>
      <c r="G2189" s="1">
        <v>45738</v>
      </c>
      <c r="H2189" t="s">
        <v>12</v>
      </c>
      <c r="I2189" t="s">
        <v>20</v>
      </c>
      <c r="J2189">
        <v>2</v>
      </c>
      <c r="K2189" t="s">
        <v>4</v>
      </c>
      <c r="L2189" t="s">
        <v>18</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2276</v>
      </c>
      <c r="B2190" t="s">
        <v>7</v>
      </c>
      <c r="C2190">
        <v>2</v>
      </c>
      <c r="D2190">
        <v>42.4</v>
      </c>
      <c r="E2190">
        <v>84.8</v>
      </c>
      <c r="F2190" s="1">
        <v>45737</v>
      </c>
      <c r="G2190" s="1">
        <v>45738</v>
      </c>
      <c r="H2190" t="s">
        <v>8</v>
      </c>
      <c r="I2190" t="s">
        <v>20</v>
      </c>
      <c r="J2190">
        <v>5</v>
      </c>
      <c r="K2190" t="s">
        <v>4</v>
      </c>
      <c r="L2190" t="s">
        <v>34</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2277</v>
      </c>
      <c r="B2191" t="s">
        <v>7</v>
      </c>
      <c r="C2191">
        <v>2</v>
      </c>
      <c r="D2191">
        <v>38.200000000000003</v>
      </c>
      <c r="E2191">
        <v>76.400000000000006</v>
      </c>
      <c r="F2191" s="1">
        <v>45737</v>
      </c>
      <c r="G2191" s="1">
        <v>45738</v>
      </c>
      <c r="H2191" t="s">
        <v>8</v>
      </c>
      <c r="I2191" t="s">
        <v>3</v>
      </c>
      <c r="J2191">
        <v>4</v>
      </c>
      <c r="K2191" t="s">
        <v>4</v>
      </c>
      <c r="L2191" t="s">
        <v>37</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2278</v>
      </c>
      <c r="B2192" t="s">
        <v>11</v>
      </c>
      <c r="C2192">
        <v>9</v>
      </c>
      <c r="D2192">
        <v>121.3</v>
      </c>
      <c r="E2192">
        <v>1091.7</v>
      </c>
      <c r="F2192" s="1">
        <v>45737</v>
      </c>
      <c r="G2192" s="1">
        <v>45742</v>
      </c>
      <c r="H2192" t="s">
        <v>8</v>
      </c>
      <c r="I2192" t="s">
        <v>3</v>
      </c>
      <c r="J2192">
        <v>4</v>
      </c>
      <c r="K2192" t="s">
        <v>4</v>
      </c>
      <c r="L2192" t="s">
        <v>40</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2279</v>
      </c>
      <c r="B2193" t="s">
        <v>24</v>
      </c>
      <c r="C2193">
        <v>2</v>
      </c>
      <c r="D2193">
        <v>46.9</v>
      </c>
      <c r="E2193">
        <v>93.8</v>
      </c>
      <c r="F2193" s="1">
        <v>45737</v>
      </c>
      <c r="G2193" s="1">
        <v>45744</v>
      </c>
      <c r="H2193" t="s">
        <v>8</v>
      </c>
      <c r="I2193" t="s">
        <v>3</v>
      </c>
      <c r="J2193">
        <v>4</v>
      </c>
      <c r="K2193" t="s">
        <v>4</v>
      </c>
      <c r="L2193" t="s">
        <v>47</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2280</v>
      </c>
      <c r="B2194" t="s">
        <v>39</v>
      </c>
      <c r="C2194">
        <v>1</v>
      </c>
      <c r="D2194">
        <v>55.3</v>
      </c>
      <c r="E2194">
        <v>55.3</v>
      </c>
      <c r="F2194" s="1">
        <v>45737</v>
      </c>
      <c r="G2194" s="1">
        <v>45739</v>
      </c>
      <c r="H2194" t="s">
        <v>8</v>
      </c>
      <c r="I2194" t="s">
        <v>3</v>
      </c>
      <c r="J2194">
        <v>4</v>
      </c>
      <c r="K2194" t="s">
        <v>4</v>
      </c>
      <c r="L2194" t="s">
        <v>47</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2281</v>
      </c>
      <c r="B2195" t="s">
        <v>11</v>
      </c>
      <c r="C2195">
        <v>3</v>
      </c>
      <c r="D2195">
        <v>70.599999999999994</v>
      </c>
      <c r="E2195">
        <v>211.79999999999998</v>
      </c>
      <c r="F2195" s="1">
        <v>45738</v>
      </c>
      <c r="G2195" s="1">
        <v>45738</v>
      </c>
      <c r="H2195" t="s">
        <v>12</v>
      </c>
      <c r="I2195" t="s">
        <v>3</v>
      </c>
      <c r="J2195">
        <v>3</v>
      </c>
      <c r="K2195" t="s">
        <v>4</v>
      </c>
      <c r="L2195" t="s">
        <v>47</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2282</v>
      </c>
      <c r="B2196" t="s">
        <v>66</v>
      </c>
      <c r="C2196">
        <v>4</v>
      </c>
      <c r="D2196">
        <v>26.1</v>
      </c>
      <c r="E2196">
        <v>104.4</v>
      </c>
      <c r="F2196" s="1">
        <v>45738</v>
      </c>
      <c r="G2196" s="1">
        <v>45740</v>
      </c>
      <c r="H2196" t="s">
        <v>8</v>
      </c>
      <c r="I2196" t="s">
        <v>3</v>
      </c>
      <c r="J2196">
        <v>4</v>
      </c>
      <c r="K2196" t="s">
        <v>4</v>
      </c>
      <c r="L2196" t="s">
        <v>47</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2283</v>
      </c>
      <c r="B2197" t="s">
        <v>31</v>
      </c>
      <c r="C2197">
        <v>11</v>
      </c>
      <c r="D2197">
        <v>34.5</v>
      </c>
      <c r="E2197">
        <v>379.5</v>
      </c>
      <c r="F2197" s="1">
        <v>45738</v>
      </c>
      <c r="G2197" s="1">
        <v>45742</v>
      </c>
      <c r="H2197" t="s">
        <v>8</v>
      </c>
      <c r="I2197" t="s">
        <v>25</v>
      </c>
      <c r="J2197">
        <v>4</v>
      </c>
      <c r="K2197" t="s">
        <v>4</v>
      </c>
      <c r="L2197" t="s">
        <v>88</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2284</v>
      </c>
      <c r="B2198" t="s">
        <v>7</v>
      </c>
      <c r="C2198">
        <v>2</v>
      </c>
      <c r="D2198">
        <v>64.2</v>
      </c>
      <c r="E2198">
        <v>128.4</v>
      </c>
      <c r="F2198" s="1">
        <v>45738</v>
      </c>
      <c r="G2198" s="1">
        <v>45739</v>
      </c>
      <c r="H2198" t="s">
        <v>12</v>
      </c>
      <c r="I2198" t="s">
        <v>3</v>
      </c>
      <c r="J2198">
        <v>3</v>
      </c>
      <c r="K2198" t="s">
        <v>4</v>
      </c>
      <c r="L2198" t="s">
        <v>88</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2285</v>
      </c>
      <c r="B2199" t="s">
        <v>11</v>
      </c>
      <c r="C2199">
        <v>4</v>
      </c>
      <c r="D2199">
        <v>145.69999999999999</v>
      </c>
      <c r="E2199">
        <v>582.79999999999995</v>
      </c>
      <c r="F2199" s="1">
        <v>45738</v>
      </c>
      <c r="G2199" s="1">
        <v>45739</v>
      </c>
      <c r="H2199" t="s">
        <v>12</v>
      </c>
      <c r="I2199" t="s">
        <v>3</v>
      </c>
      <c r="J2199">
        <v>2</v>
      </c>
      <c r="K2199" t="s">
        <v>4</v>
      </c>
      <c r="L2199" t="s">
        <v>88</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2286</v>
      </c>
      <c r="B2200" t="s">
        <v>54</v>
      </c>
      <c r="C2200">
        <v>2</v>
      </c>
      <c r="D2200">
        <v>78.5</v>
      </c>
      <c r="E2200">
        <v>157</v>
      </c>
      <c r="F2200" s="1">
        <v>45738</v>
      </c>
      <c r="G2200" s="1">
        <v>45739</v>
      </c>
      <c r="H2200" t="s">
        <v>8</v>
      </c>
      <c r="I2200" t="s">
        <v>25</v>
      </c>
      <c r="J2200">
        <v>4</v>
      </c>
      <c r="K2200" t="s">
        <v>4</v>
      </c>
      <c r="L2200" t="s">
        <v>186</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2287</v>
      </c>
      <c r="B2201" t="s">
        <v>7</v>
      </c>
      <c r="C2201">
        <v>1</v>
      </c>
      <c r="D2201">
        <v>34.200000000000003</v>
      </c>
      <c r="E2201">
        <v>34.200000000000003</v>
      </c>
      <c r="F2201" s="1">
        <v>45738</v>
      </c>
      <c r="G2201" s="1">
        <v>45740</v>
      </c>
      <c r="H2201" t="s">
        <v>8</v>
      </c>
      <c r="I2201" t="s">
        <v>3</v>
      </c>
      <c r="J2201">
        <v>4</v>
      </c>
      <c r="K2201" t="s">
        <v>4</v>
      </c>
      <c r="L2201" t="s">
        <v>57</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2288</v>
      </c>
      <c r="B2202" t="s">
        <v>156</v>
      </c>
      <c r="C2202">
        <v>1</v>
      </c>
      <c r="D2202">
        <v>26.2</v>
      </c>
      <c r="E2202">
        <v>26.2</v>
      </c>
      <c r="F2202" s="1">
        <v>45738</v>
      </c>
      <c r="G2202" s="1">
        <v>45739</v>
      </c>
      <c r="H2202" t="s">
        <v>8</v>
      </c>
      <c r="I2202" t="s">
        <v>25</v>
      </c>
      <c r="J2202">
        <v>4</v>
      </c>
      <c r="K2202" t="s">
        <v>4</v>
      </c>
      <c r="L2202" t="s">
        <v>57</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2289</v>
      </c>
      <c r="B2203" t="s">
        <v>24</v>
      </c>
      <c r="C2203">
        <v>4</v>
      </c>
      <c r="D2203">
        <v>53.2</v>
      </c>
      <c r="E2203">
        <v>212.8</v>
      </c>
      <c r="F2203" s="1">
        <v>45738</v>
      </c>
      <c r="G2203" s="1">
        <v>45739</v>
      </c>
      <c r="H2203" t="s">
        <v>8</v>
      </c>
      <c r="I2203" t="s">
        <v>20</v>
      </c>
      <c r="J2203">
        <v>3</v>
      </c>
      <c r="K2203" t="s">
        <v>4</v>
      </c>
      <c r="L2203" t="s">
        <v>62</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2290</v>
      </c>
      <c r="B2204" t="s">
        <v>7</v>
      </c>
      <c r="C2204">
        <v>1</v>
      </c>
      <c r="D2204">
        <v>35.4</v>
      </c>
      <c r="E2204">
        <v>35.4</v>
      </c>
      <c r="F2204" s="1">
        <v>45738</v>
      </c>
      <c r="G2204" s="1">
        <v>45742</v>
      </c>
      <c r="H2204" t="s">
        <v>8</v>
      </c>
      <c r="I2204" t="s">
        <v>20</v>
      </c>
      <c r="J2204">
        <v>2</v>
      </c>
      <c r="K2204" t="s">
        <v>4</v>
      </c>
      <c r="L2204" t="s">
        <v>93</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2291</v>
      </c>
      <c r="B2205" t="s">
        <v>66</v>
      </c>
      <c r="C2205">
        <v>2</v>
      </c>
      <c r="D2205">
        <v>21.3</v>
      </c>
      <c r="E2205">
        <v>42.6</v>
      </c>
      <c r="F2205" s="1">
        <v>45738</v>
      </c>
      <c r="G2205" s="1">
        <v>45739</v>
      </c>
      <c r="H2205" t="s">
        <v>8</v>
      </c>
      <c r="I2205" t="s">
        <v>25</v>
      </c>
      <c r="J2205">
        <v>4</v>
      </c>
      <c r="K2205" t="s">
        <v>4</v>
      </c>
      <c r="L2205" t="s">
        <v>98</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2292</v>
      </c>
      <c r="B2206" t="s">
        <v>29</v>
      </c>
      <c r="C2206">
        <v>4</v>
      </c>
      <c r="D2206">
        <v>32.9</v>
      </c>
      <c r="E2206">
        <v>131.6</v>
      </c>
      <c r="F2206" s="1">
        <v>45738</v>
      </c>
      <c r="G2206" s="1">
        <v>45741</v>
      </c>
      <c r="H2206" t="s">
        <v>12</v>
      </c>
      <c r="I2206" t="s">
        <v>55</v>
      </c>
      <c r="J2206">
        <v>5</v>
      </c>
      <c r="K2206" t="s">
        <v>4</v>
      </c>
      <c r="L2206" t="s">
        <v>100</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2293</v>
      </c>
      <c r="B2207" t="s">
        <v>22</v>
      </c>
      <c r="C2207">
        <v>15</v>
      </c>
      <c r="D2207">
        <v>85.5</v>
      </c>
      <c r="E2207">
        <v>1282.5</v>
      </c>
      <c r="F2207" s="1">
        <v>45738</v>
      </c>
      <c r="G2207" s="1">
        <v>45740</v>
      </c>
      <c r="H2207" t="s">
        <v>12</v>
      </c>
      <c r="I2207" t="s">
        <v>36</v>
      </c>
      <c r="J2207">
        <v>3</v>
      </c>
      <c r="K2207" t="s">
        <v>4</v>
      </c>
      <c r="L2207" t="s">
        <v>100</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2294</v>
      </c>
      <c r="B2208" t="s">
        <v>17</v>
      </c>
      <c r="C2208">
        <v>1</v>
      </c>
      <c r="D2208">
        <v>26.8</v>
      </c>
      <c r="E2208">
        <v>26.8</v>
      </c>
      <c r="F2208" s="1">
        <v>45738</v>
      </c>
      <c r="G2208" s="1">
        <v>45739</v>
      </c>
      <c r="H2208" t="s">
        <v>12</v>
      </c>
      <c r="I2208" t="s">
        <v>3</v>
      </c>
      <c r="J2208">
        <v>3</v>
      </c>
      <c r="K2208" t="s">
        <v>4</v>
      </c>
      <c r="L2208" t="s">
        <v>13</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2295</v>
      </c>
      <c r="B2209" t="s">
        <v>31</v>
      </c>
      <c r="C2209">
        <v>26</v>
      </c>
      <c r="D2209">
        <v>31.7</v>
      </c>
      <c r="E2209">
        <v>824.19999999999993</v>
      </c>
      <c r="F2209" s="1">
        <v>45738</v>
      </c>
      <c r="G2209" s="1">
        <v>45738</v>
      </c>
      <c r="H2209" t="s">
        <v>12</v>
      </c>
      <c r="I2209" t="s">
        <v>36</v>
      </c>
      <c r="J2209">
        <v>4</v>
      </c>
      <c r="K2209" t="s">
        <v>4</v>
      </c>
      <c r="L2209" t="s">
        <v>13</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2296</v>
      </c>
      <c r="B2210" t="s">
        <v>7</v>
      </c>
      <c r="C2210">
        <v>2</v>
      </c>
      <c r="D2210">
        <v>78.3</v>
      </c>
      <c r="E2210">
        <v>156.6</v>
      </c>
      <c r="F2210" s="1">
        <v>45738</v>
      </c>
      <c r="G2210" s="1">
        <v>45740</v>
      </c>
      <c r="H2210" t="s">
        <v>12</v>
      </c>
      <c r="I2210" t="s">
        <v>20</v>
      </c>
      <c r="J2210">
        <v>3</v>
      </c>
      <c r="K2210" t="s">
        <v>4</v>
      </c>
      <c r="L2210" t="s">
        <v>18</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2297</v>
      </c>
      <c r="B2211" t="s">
        <v>24</v>
      </c>
      <c r="C2211">
        <v>1</v>
      </c>
      <c r="D2211">
        <v>43.9</v>
      </c>
      <c r="E2211">
        <v>43.9</v>
      </c>
      <c r="F2211" s="1">
        <v>45738</v>
      </c>
      <c r="G2211" s="1">
        <v>45739</v>
      </c>
      <c r="H2211" t="s">
        <v>8</v>
      </c>
      <c r="I2211" t="s">
        <v>3</v>
      </c>
      <c r="J2211">
        <v>4</v>
      </c>
      <c r="K2211" t="s">
        <v>4</v>
      </c>
      <c r="L2211" t="s">
        <v>18</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2298</v>
      </c>
      <c r="B2212" t="s">
        <v>131</v>
      </c>
      <c r="C2212">
        <v>3</v>
      </c>
      <c r="D2212">
        <v>84</v>
      </c>
      <c r="E2212">
        <v>252</v>
      </c>
      <c r="F2212" s="1">
        <v>45738</v>
      </c>
      <c r="G2212" s="1">
        <v>45740</v>
      </c>
      <c r="H2212" t="s">
        <v>2</v>
      </c>
      <c r="I2212" t="s">
        <v>36</v>
      </c>
      <c r="J2212">
        <v>5</v>
      </c>
      <c r="K2212" t="s">
        <v>4</v>
      </c>
      <c r="L2212" t="s">
        <v>18</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2299</v>
      </c>
      <c r="B2213" t="s">
        <v>1</v>
      </c>
      <c r="C2213">
        <v>3</v>
      </c>
      <c r="D2213">
        <v>11.4</v>
      </c>
      <c r="E2213">
        <v>34.200000000000003</v>
      </c>
      <c r="F2213" s="1">
        <v>45738</v>
      </c>
      <c r="G2213" s="1">
        <v>45739</v>
      </c>
      <c r="H2213" t="s">
        <v>8</v>
      </c>
      <c r="I2213" t="s">
        <v>55</v>
      </c>
      <c r="J2213">
        <v>4</v>
      </c>
      <c r="K2213" t="s">
        <v>4</v>
      </c>
      <c r="L2213" t="s">
        <v>18</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2300</v>
      </c>
      <c r="B2214" t="s">
        <v>54</v>
      </c>
      <c r="C2214">
        <v>8</v>
      </c>
      <c r="D2214">
        <v>47.5</v>
      </c>
      <c r="E2214">
        <v>380</v>
      </c>
      <c r="F2214" s="1">
        <v>45738</v>
      </c>
      <c r="G2214" s="1">
        <v>45746</v>
      </c>
      <c r="H2214" t="s">
        <v>12</v>
      </c>
      <c r="I2214" t="s">
        <v>3</v>
      </c>
      <c r="J2214">
        <v>4</v>
      </c>
      <c r="K2214" t="s">
        <v>4</v>
      </c>
      <c r="L2214" t="s">
        <v>18</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2301</v>
      </c>
      <c r="B2215" t="s">
        <v>31</v>
      </c>
      <c r="C2215">
        <v>11</v>
      </c>
      <c r="D2215">
        <v>50.5</v>
      </c>
      <c r="E2215">
        <v>555.5</v>
      </c>
      <c r="F2215" s="1">
        <v>45738</v>
      </c>
      <c r="G2215" s="1">
        <v>45740</v>
      </c>
      <c r="H2215" t="s">
        <v>8</v>
      </c>
      <c r="I2215" t="s">
        <v>25</v>
      </c>
      <c r="J2215">
        <v>4</v>
      </c>
      <c r="K2215" t="s">
        <v>4</v>
      </c>
      <c r="L2215" t="s">
        <v>18</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2302</v>
      </c>
      <c r="B2216" t="s">
        <v>108</v>
      </c>
      <c r="C2216">
        <v>1</v>
      </c>
      <c r="D2216">
        <v>36.299999999999997</v>
      </c>
      <c r="E2216">
        <v>36.299999999999997</v>
      </c>
      <c r="F2216" s="1">
        <v>45738</v>
      </c>
      <c r="G2216" s="1">
        <v>45741</v>
      </c>
      <c r="H2216" t="s">
        <v>74</v>
      </c>
      <c r="I2216" t="s">
        <v>3</v>
      </c>
      <c r="J2216">
        <v>3</v>
      </c>
      <c r="K2216" t="s">
        <v>4</v>
      </c>
      <c r="L2216" t="s">
        <v>47</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2303</v>
      </c>
      <c r="B2217" t="s">
        <v>29</v>
      </c>
      <c r="C2217">
        <v>2</v>
      </c>
      <c r="D2217">
        <v>35.4</v>
      </c>
      <c r="E2217">
        <v>70.8</v>
      </c>
      <c r="F2217" s="1">
        <v>45738</v>
      </c>
      <c r="G2217" s="1">
        <v>45739</v>
      </c>
      <c r="H2217" t="s">
        <v>12</v>
      </c>
      <c r="I2217" t="s">
        <v>3</v>
      </c>
      <c r="J2217">
        <v>4</v>
      </c>
      <c r="K2217" t="s">
        <v>4</v>
      </c>
      <c r="L2217" t="s">
        <v>88</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2304</v>
      </c>
      <c r="B2218" t="s">
        <v>7</v>
      </c>
      <c r="C2218">
        <v>3</v>
      </c>
      <c r="D2218">
        <v>45.9</v>
      </c>
      <c r="E2218">
        <v>137.69999999999999</v>
      </c>
      <c r="F2218" s="1">
        <v>45739</v>
      </c>
      <c r="G2218" s="1">
        <v>45740</v>
      </c>
      <c r="H2218" t="s">
        <v>8</v>
      </c>
      <c r="I2218" t="s">
        <v>36</v>
      </c>
      <c r="J2218">
        <v>4</v>
      </c>
      <c r="K2218" t="s">
        <v>4</v>
      </c>
      <c r="L2218" t="s">
        <v>57</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2305</v>
      </c>
      <c r="B2219" t="s">
        <v>24</v>
      </c>
      <c r="C2219">
        <v>10</v>
      </c>
      <c r="D2219">
        <v>41.2</v>
      </c>
      <c r="E2219">
        <v>412</v>
      </c>
      <c r="F2219" s="1">
        <v>45739</v>
      </c>
      <c r="G2219" s="1">
        <v>45743</v>
      </c>
      <c r="H2219" t="s">
        <v>8</v>
      </c>
      <c r="I2219" t="s">
        <v>3</v>
      </c>
      <c r="J2219">
        <v>4</v>
      </c>
      <c r="K2219" t="s">
        <v>4</v>
      </c>
      <c r="L2219" t="s">
        <v>62</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2306</v>
      </c>
      <c r="B2220" t="s">
        <v>120</v>
      </c>
      <c r="C2220">
        <v>2</v>
      </c>
      <c r="D2220">
        <v>45.1</v>
      </c>
      <c r="E2220">
        <v>90.2</v>
      </c>
      <c r="F2220" s="1">
        <v>45739</v>
      </c>
      <c r="G2220" s="1">
        <v>45740</v>
      </c>
      <c r="H2220" t="s">
        <v>8</v>
      </c>
      <c r="I2220" t="s">
        <v>20</v>
      </c>
      <c r="J2220">
        <v>3</v>
      </c>
      <c r="K2220" t="s">
        <v>4</v>
      </c>
      <c r="L2220" t="s">
        <v>100</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2307</v>
      </c>
      <c r="B2221" t="s">
        <v>24</v>
      </c>
      <c r="C2221">
        <v>10</v>
      </c>
      <c r="D2221">
        <v>63.6</v>
      </c>
      <c r="E2221">
        <v>636</v>
      </c>
      <c r="F2221" s="1">
        <v>45739</v>
      </c>
      <c r="G2221" s="1">
        <v>45739</v>
      </c>
      <c r="H2221" t="s">
        <v>8</v>
      </c>
      <c r="I2221" t="s">
        <v>25</v>
      </c>
      <c r="J2221">
        <v>4</v>
      </c>
      <c r="K2221" t="s">
        <v>4</v>
      </c>
      <c r="L2221" t="s">
        <v>9</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2308</v>
      </c>
      <c r="B2222" t="s">
        <v>29</v>
      </c>
      <c r="C2222">
        <v>1</v>
      </c>
      <c r="D2222">
        <v>70.5</v>
      </c>
      <c r="E2222">
        <v>70.5</v>
      </c>
      <c r="F2222" s="1">
        <v>45739</v>
      </c>
      <c r="G2222" s="1">
        <v>45740</v>
      </c>
      <c r="H2222" t="s">
        <v>8</v>
      </c>
      <c r="I2222" t="s">
        <v>3</v>
      </c>
      <c r="J2222">
        <v>4</v>
      </c>
      <c r="K2222" t="s">
        <v>4</v>
      </c>
      <c r="L2222" t="s">
        <v>18</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2309</v>
      </c>
      <c r="B2223" t="s">
        <v>24</v>
      </c>
      <c r="C2223">
        <v>1</v>
      </c>
      <c r="D2223">
        <v>41.3</v>
      </c>
      <c r="E2223">
        <v>41.3</v>
      </c>
      <c r="F2223" s="1">
        <v>45739</v>
      </c>
      <c r="G2223" s="1">
        <v>45739</v>
      </c>
      <c r="H2223" t="s">
        <v>8</v>
      </c>
      <c r="I2223" t="s">
        <v>55</v>
      </c>
      <c r="J2223">
        <v>4</v>
      </c>
      <c r="K2223" t="s">
        <v>4</v>
      </c>
      <c r="L2223" t="s">
        <v>18</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2310</v>
      </c>
      <c r="B2224" t="s">
        <v>17</v>
      </c>
      <c r="C2224">
        <v>1</v>
      </c>
      <c r="D2224">
        <v>35.299999999999997</v>
      </c>
      <c r="E2224">
        <v>35.299999999999997</v>
      </c>
      <c r="F2224" s="1">
        <v>45739</v>
      </c>
      <c r="G2224" s="1">
        <v>45742</v>
      </c>
      <c r="H2224" t="s">
        <v>12</v>
      </c>
      <c r="I2224" t="s">
        <v>55</v>
      </c>
      <c r="J2224">
        <v>5</v>
      </c>
      <c r="K2224" t="s">
        <v>4</v>
      </c>
      <c r="L2224" t="s">
        <v>18</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2311</v>
      </c>
      <c r="B2225" t="s">
        <v>29</v>
      </c>
      <c r="C2225">
        <v>5</v>
      </c>
      <c r="D2225">
        <v>34.700000000000003</v>
      </c>
      <c r="E2225">
        <v>173.5</v>
      </c>
      <c r="F2225" s="1">
        <v>45739</v>
      </c>
      <c r="G2225" s="1">
        <v>45740</v>
      </c>
      <c r="H2225" t="s">
        <v>12</v>
      </c>
      <c r="I2225" t="s">
        <v>3</v>
      </c>
      <c r="J2225">
        <v>5</v>
      </c>
      <c r="K2225" t="s">
        <v>4</v>
      </c>
      <c r="L2225" t="s">
        <v>18</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2312</v>
      </c>
      <c r="B2226" t="s">
        <v>29</v>
      </c>
      <c r="C2226">
        <v>3</v>
      </c>
      <c r="D2226">
        <v>26.1</v>
      </c>
      <c r="E2226">
        <v>78.300000000000011</v>
      </c>
      <c r="F2226" s="1">
        <v>45739</v>
      </c>
      <c r="G2226" s="1">
        <v>45740</v>
      </c>
      <c r="H2226" t="s">
        <v>12</v>
      </c>
      <c r="I2226" t="s">
        <v>3</v>
      </c>
      <c r="J2226">
        <v>4</v>
      </c>
      <c r="K2226" t="s">
        <v>4</v>
      </c>
      <c r="L2226" t="s">
        <v>18</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2313</v>
      </c>
      <c r="B2227" t="s">
        <v>31</v>
      </c>
      <c r="C2227">
        <v>5</v>
      </c>
      <c r="D2227">
        <v>22.6</v>
      </c>
      <c r="E2227">
        <v>113</v>
      </c>
      <c r="F2227" s="1">
        <v>45739</v>
      </c>
      <c r="G2227" s="1">
        <v>45739</v>
      </c>
      <c r="H2227" t="s">
        <v>12</v>
      </c>
      <c r="I2227" t="s">
        <v>20</v>
      </c>
      <c r="J2227">
        <v>5</v>
      </c>
      <c r="K2227" t="s">
        <v>4</v>
      </c>
      <c r="L2227" t="s">
        <v>18</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2314</v>
      </c>
      <c r="B2228" t="s">
        <v>11</v>
      </c>
      <c r="C2228">
        <v>2</v>
      </c>
      <c r="D2228">
        <v>154.4</v>
      </c>
      <c r="E2228">
        <v>308.8</v>
      </c>
      <c r="F2228" s="1">
        <v>45739</v>
      </c>
      <c r="G2228" s="1">
        <v>45742</v>
      </c>
      <c r="H2228" t="s">
        <v>8</v>
      </c>
      <c r="I2228" t="s">
        <v>20</v>
      </c>
      <c r="J2228">
        <v>3</v>
      </c>
      <c r="K2228" t="s">
        <v>4</v>
      </c>
      <c r="L2228" t="s">
        <v>18</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2315</v>
      </c>
      <c r="B2229" t="s">
        <v>29</v>
      </c>
      <c r="C2229">
        <v>2</v>
      </c>
      <c r="D2229">
        <v>18.399999999999999</v>
      </c>
      <c r="E2229">
        <v>36.799999999999997</v>
      </c>
      <c r="F2229" s="1">
        <v>45739</v>
      </c>
      <c r="G2229" s="1">
        <v>45740</v>
      </c>
      <c r="H2229" t="s">
        <v>8</v>
      </c>
      <c r="I2229" t="s">
        <v>3</v>
      </c>
      <c r="J2229">
        <v>4</v>
      </c>
      <c r="K2229" t="s">
        <v>4</v>
      </c>
      <c r="L2229" t="s">
        <v>18</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2316</v>
      </c>
      <c r="B2230" t="s">
        <v>66</v>
      </c>
      <c r="C2230">
        <v>1</v>
      </c>
      <c r="D2230">
        <v>25</v>
      </c>
      <c r="E2230">
        <v>25</v>
      </c>
      <c r="F2230" s="1">
        <v>45739</v>
      </c>
      <c r="G2230" s="1">
        <v>45742</v>
      </c>
      <c r="H2230" t="s">
        <v>12</v>
      </c>
      <c r="I2230" t="s">
        <v>3</v>
      </c>
      <c r="J2230">
        <v>4</v>
      </c>
      <c r="K2230" t="s">
        <v>4</v>
      </c>
      <c r="L2230" t="s">
        <v>18</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2317</v>
      </c>
      <c r="B2231" t="s">
        <v>11</v>
      </c>
      <c r="C2231">
        <v>6</v>
      </c>
      <c r="D2231">
        <v>105.6</v>
      </c>
      <c r="E2231">
        <v>633.59999999999991</v>
      </c>
      <c r="F2231" s="1">
        <v>45739</v>
      </c>
      <c r="G2231" s="1">
        <v>45739</v>
      </c>
      <c r="H2231" t="s">
        <v>12</v>
      </c>
      <c r="I2231" t="s">
        <v>3</v>
      </c>
      <c r="J2231">
        <v>4</v>
      </c>
      <c r="K2231" t="s">
        <v>4</v>
      </c>
      <c r="L2231" t="s">
        <v>18</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2318</v>
      </c>
      <c r="B2232" t="s">
        <v>131</v>
      </c>
      <c r="C2232">
        <v>8</v>
      </c>
      <c r="D2232">
        <v>59.6</v>
      </c>
      <c r="E2232">
        <v>476.8</v>
      </c>
      <c r="F2232" s="1">
        <v>45739</v>
      </c>
      <c r="G2232" s="1">
        <v>45739</v>
      </c>
      <c r="H2232" t="s">
        <v>12</v>
      </c>
      <c r="I2232" t="s">
        <v>3</v>
      </c>
      <c r="J2232">
        <v>5</v>
      </c>
      <c r="K2232" t="s">
        <v>4</v>
      </c>
      <c r="L2232" t="s">
        <v>143</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2319</v>
      </c>
      <c r="B2233" t="s">
        <v>108</v>
      </c>
      <c r="C2233">
        <v>3</v>
      </c>
      <c r="D2233">
        <v>75.400000000000006</v>
      </c>
      <c r="E2233">
        <v>226.20000000000002</v>
      </c>
      <c r="F2233" s="1">
        <v>45739</v>
      </c>
      <c r="G2233" s="1">
        <v>45744</v>
      </c>
      <c r="H2233" t="s">
        <v>8</v>
      </c>
      <c r="I2233" t="s">
        <v>3</v>
      </c>
      <c r="J2233">
        <v>3</v>
      </c>
      <c r="K2233" t="s">
        <v>4</v>
      </c>
      <c r="L2233" t="s">
        <v>44</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2320</v>
      </c>
      <c r="B2234" t="s">
        <v>27</v>
      </c>
      <c r="C2234">
        <v>1</v>
      </c>
      <c r="D2234">
        <v>104.4</v>
      </c>
      <c r="E2234">
        <v>104.4</v>
      </c>
      <c r="F2234" s="1">
        <v>45739</v>
      </c>
      <c r="G2234" s="1">
        <v>45740</v>
      </c>
      <c r="H2234" t="s">
        <v>12</v>
      </c>
      <c r="I2234" t="s">
        <v>3</v>
      </c>
      <c r="J2234">
        <v>4</v>
      </c>
      <c r="K2234" t="s">
        <v>4</v>
      </c>
      <c r="L2234" t="s">
        <v>47</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2321</v>
      </c>
      <c r="B2235" t="s">
        <v>11</v>
      </c>
      <c r="C2235">
        <v>10</v>
      </c>
      <c r="D2235">
        <v>208.2</v>
      </c>
      <c r="E2235">
        <v>2082</v>
      </c>
      <c r="F2235" s="1">
        <v>45739</v>
      </c>
      <c r="G2235" s="1">
        <v>45740</v>
      </c>
      <c r="H2235" t="s">
        <v>8</v>
      </c>
      <c r="I2235" t="s">
        <v>3</v>
      </c>
      <c r="J2235">
        <v>5</v>
      </c>
      <c r="K2235" t="s">
        <v>4</v>
      </c>
      <c r="L2235" t="s">
        <v>47</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2322</v>
      </c>
      <c r="B2236" t="s">
        <v>24</v>
      </c>
      <c r="C2236">
        <v>2</v>
      </c>
      <c r="D2236">
        <v>45</v>
      </c>
      <c r="E2236">
        <v>90</v>
      </c>
      <c r="F2236" s="1">
        <v>45739</v>
      </c>
      <c r="G2236" s="1">
        <v>45742</v>
      </c>
      <c r="H2236" t="s">
        <v>12</v>
      </c>
      <c r="I2236" t="s">
        <v>3</v>
      </c>
      <c r="J2236">
        <v>4</v>
      </c>
      <c r="K2236" t="s">
        <v>4</v>
      </c>
      <c r="L2236" t="s">
        <v>59</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2323</v>
      </c>
      <c r="B2237" t="s">
        <v>108</v>
      </c>
      <c r="C2237">
        <v>2</v>
      </c>
      <c r="D2237">
        <v>20.3</v>
      </c>
      <c r="E2237">
        <v>40.6</v>
      </c>
      <c r="F2237" s="1">
        <v>45740</v>
      </c>
      <c r="G2237" s="1">
        <v>45742</v>
      </c>
      <c r="H2237" t="s">
        <v>2</v>
      </c>
      <c r="I2237" t="s">
        <v>20</v>
      </c>
      <c r="J2237">
        <v>4</v>
      </c>
      <c r="K2237" t="s">
        <v>4</v>
      </c>
      <c r="L2237" t="s">
        <v>62</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2324</v>
      </c>
      <c r="B2238" t="s">
        <v>11</v>
      </c>
      <c r="C2238">
        <v>3</v>
      </c>
      <c r="D2238">
        <v>94.4</v>
      </c>
      <c r="E2238">
        <v>283.20000000000005</v>
      </c>
      <c r="F2238" s="1">
        <v>45740</v>
      </c>
      <c r="G2238" s="1">
        <v>45741</v>
      </c>
      <c r="H2238" t="s">
        <v>12</v>
      </c>
      <c r="I2238" t="s">
        <v>3</v>
      </c>
      <c r="J2238">
        <v>5</v>
      </c>
      <c r="K2238" t="s">
        <v>4</v>
      </c>
      <c r="L2238" t="s">
        <v>62</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2325</v>
      </c>
      <c r="B2239" t="s">
        <v>31</v>
      </c>
      <c r="C2239">
        <v>1</v>
      </c>
      <c r="D2239">
        <v>49</v>
      </c>
      <c r="E2239">
        <v>49</v>
      </c>
      <c r="F2239" s="1">
        <v>45740</v>
      </c>
      <c r="G2239" s="1">
        <v>45742</v>
      </c>
      <c r="H2239" t="s">
        <v>12</v>
      </c>
      <c r="I2239" t="s">
        <v>3</v>
      </c>
      <c r="J2239">
        <v>5</v>
      </c>
      <c r="K2239" t="s">
        <v>4</v>
      </c>
      <c r="L2239" t="s">
        <v>98</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2326</v>
      </c>
      <c r="B2240" t="s">
        <v>17</v>
      </c>
      <c r="C2240">
        <v>2</v>
      </c>
      <c r="D2240">
        <v>27.2</v>
      </c>
      <c r="E2240">
        <v>54.4</v>
      </c>
      <c r="F2240" s="1">
        <v>45740</v>
      </c>
      <c r="G2240" s="1">
        <v>45742</v>
      </c>
      <c r="H2240" t="s">
        <v>8</v>
      </c>
      <c r="I2240" t="s">
        <v>3</v>
      </c>
      <c r="J2240">
        <v>5</v>
      </c>
      <c r="K2240" t="s">
        <v>4</v>
      </c>
      <c r="L2240" t="s">
        <v>9</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2327</v>
      </c>
      <c r="B2241" t="s">
        <v>11</v>
      </c>
      <c r="C2241">
        <v>6</v>
      </c>
      <c r="D2241">
        <v>72.599999999999994</v>
      </c>
      <c r="E2241">
        <v>435.59999999999997</v>
      </c>
      <c r="F2241" s="1">
        <v>45740</v>
      </c>
      <c r="G2241" s="1">
        <v>45741</v>
      </c>
      <c r="H2241" t="s">
        <v>12</v>
      </c>
      <c r="I2241" t="s">
        <v>3</v>
      </c>
      <c r="J2241">
        <v>5</v>
      </c>
      <c r="K2241" t="s">
        <v>4</v>
      </c>
      <c r="L2241" t="s">
        <v>13</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2328</v>
      </c>
      <c r="B2242" t="s">
        <v>108</v>
      </c>
      <c r="C2242">
        <v>4</v>
      </c>
      <c r="D2242">
        <v>62.4</v>
      </c>
      <c r="E2242">
        <v>249.6</v>
      </c>
      <c r="F2242" s="1">
        <v>45740</v>
      </c>
      <c r="G2242" s="1">
        <v>45741</v>
      </c>
      <c r="H2242" t="s">
        <v>12</v>
      </c>
      <c r="I2242" t="s">
        <v>3</v>
      </c>
      <c r="J2242">
        <v>4</v>
      </c>
      <c r="K2242" t="s">
        <v>4</v>
      </c>
      <c r="L2242" t="s">
        <v>18</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2329</v>
      </c>
      <c r="B2243" t="s">
        <v>29</v>
      </c>
      <c r="C2243">
        <v>3</v>
      </c>
      <c r="D2243">
        <v>19.100000000000001</v>
      </c>
      <c r="E2243">
        <v>57.300000000000004</v>
      </c>
      <c r="F2243" s="1">
        <v>45740</v>
      </c>
      <c r="G2243" s="1">
        <v>45742</v>
      </c>
      <c r="H2243" t="s">
        <v>8</v>
      </c>
      <c r="I2243" t="s">
        <v>3</v>
      </c>
      <c r="J2243">
        <v>3</v>
      </c>
      <c r="K2243" t="s">
        <v>4</v>
      </c>
      <c r="L2243" t="s">
        <v>18</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2330</v>
      </c>
      <c r="B2244" t="s">
        <v>39</v>
      </c>
      <c r="C2244">
        <v>1</v>
      </c>
      <c r="D2244">
        <v>29.6</v>
      </c>
      <c r="E2244">
        <v>29.6</v>
      </c>
      <c r="F2244" s="1">
        <v>45740</v>
      </c>
      <c r="G2244" s="1">
        <v>45744</v>
      </c>
      <c r="H2244" t="s">
        <v>8</v>
      </c>
      <c r="I2244" t="s">
        <v>3</v>
      </c>
      <c r="J2244">
        <v>2</v>
      </c>
      <c r="K2244" t="s">
        <v>4</v>
      </c>
      <c r="L2244" t="s">
        <v>18</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2331</v>
      </c>
      <c r="B2245" t="s">
        <v>29</v>
      </c>
      <c r="C2245">
        <v>2</v>
      </c>
      <c r="D2245">
        <v>18.899999999999999</v>
      </c>
      <c r="E2245">
        <v>37.799999999999997</v>
      </c>
      <c r="F2245" s="1">
        <v>45740</v>
      </c>
      <c r="G2245" s="1">
        <v>45742</v>
      </c>
      <c r="H2245" t="s">
        <v>12</v>
      </c>
      <c r="I2245" t="s">
        <v>55</v>
      </c>
      <c r="J2245">
        <v>5</v>
      </c>
      <c r="K2245" t="s">
        <v>4</v>
      </c>
      <c r="L2245" t="s">
        <v>18</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2332</v>
      </c>
      <c r="B2246" t="s">
        <v>39</v>
      </c>
      <c r="C2246">
        <v>5</v>
      </c>
      <c r="D2246">
        <v>41.4</v>
      </c>
      <c r="E2246">
        <v>207</v>
      </c>
      <c r="F2246" s="1">
        <v>45740</v>
      </c>
      <c r="G2246" s="1">
        <v>45741</v>
      </c>
      <c r="H2246" t="s">
        <v>8</v>
      </c>
      <c r="I2246" t="s">
        <v>36</v>
      </c>
      <c r="J2246">
        <v>4</v>
      </c>
      <c r="K2246" t="s">
        <v>4</v>
      </c>
      <c r="L2246" t="s">
        <v>18</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2333</v>
      </c>
      <c r="B2247" t="s">
        <v>11</v>
      </c>
      <c r="C2247">
        <v>1</v>
      </c>
      <c r="D2247">
        <v>118.4</v>
      </c>
      <c r="E2247">
        <v>118.4</v>
      </c>
      <c r="F2247" s="1">
        <v>45740</v>
      </c>
      <c r="G2247" s="1">
        <v>45741</v>
      </c>
      <c r="H2247" t="s">
        <v>12</v>
      </c>
      <c r="I2247" t="s">
        <v>3</v>
      </c>
      <c r="J2247">
        <v>5</v>
      </c>
      <c r="K2247" t="s">
        <v>4</v>
      </c>
      <c r="L2247" t="s">
        <v>18</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2334</v>
      </c>
      <c r="B2248" t="s">
        <v>11</v>
      </c>
      <c r="C2248">
        <v>2</v>
      </c>
      <c r="D2248">
        <v>125.3</v>
      </c>
      <c r="E2248">
        <v>250.6</v>
      </c>
      <c r="F2248" s="1">
        <v>45740</v>
      </c>
      <c r="G2248" s="1">
        <v>45743</v>
      </c>
      <c r="H2248" t="s">
        <v>12</v>
      </c>
      <c r="I2248" t="s">
        <v>3</v>
      </c>
      <c r="J2248">
        <v>5</v>
      </c>
      <c r="K2248" t="s">
        <v>4</v>
      </c>
      <c r="L2248" t="s">
        <v>18</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2335</v>
      </c>
      <c r="B2249" t="s">
        <v>15</v>
      </c>
      <c r="C2249">
        <v>2</v>
      </c>
      <c r="D2249">
        <v>85.8</v>
      </c>
      <c r="E2249">
        <v>171.6</v>
      </c>
      <c r="F2249" s="1">
        <v>45740</v>
      </c>
      <c r="G2249" s="1">
        <v>45741</v>
      </c>
      <c r="H2249" t="s">
        <v>12</v>
      </c>
      <c r="I2249" t="s">
        <v>20</v>
      </c>
      <c r="J2249">
        <v>2</v>
      </c>
      <c r="K2249" t="s">
        <v>4</v>
      </c>
      <c r="L2249" t="s">
        <v>18</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2336</v>
      </c>
      <c r="B2250" t="s">
        <v>24</v>
      </c>
      <c r="C2250">
        <v>1</v>
      </c>
      <c r="D2250">
        <v>44.2</v>
      </c>
      <c r="E2250">
        <v>44.2</v>
      </c>
      <c r="F2250" s="1">
        <v>45740</v>
      </c>
      <c r="G2250" s="1">
        <v>45743</v>
      </c>
      <c r="H2250" t="s">
        <v>8</v>
      </c>
      <c r="I2250" t="s">
        <v>20</v>
      </c>
      <c r="J2250">
        <v>4</v>
      </c>
      <c r="K2250" t="s">
        <v>4</v>
      </c>
      <c r="L2250" t="s">
        <v>18</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2337</v>
      </c>
      <c r="B2251" t="s">
        <v>22</v>
      </c>
      <c r="C2251">
        <v>4</v>
      </c>
      <c r="D2251">
        <v>74.099999999999994</v>
      </c>
      <c r="E2251">
        <v>296.39999999999998</v>
      </c>
      <c r="F2251" s="1">
        <v>45740</v>
      </c>
      <c r="G2251" s="1">
        <v>45742</v>
      </c>
      <c r="H2251" t="s">
        <v>12</v>
      </c>
      <c r="I2251" t="s">
        <v>3</v>
      </c>
      <c r="J2251">
        <v>4</v>
      </c>
      <c r="K2251" t="s">
        <v>4</v>
      </c>
      <c r="L2251" t="s">
        <v>18</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2338</v>
      </c>
      <c r="B2252" t="s">
        <v>29</v>
      </c>
      <c r="C2252">
        <v>1</v>
      </c>
      <c r="D2252">
        <v>33.799999999999997</v>
      </c>
      <c r="E2252">
        <v>33.799999999999997</v>
      </c>
      <c r="F2252" s="1">
        <v>45740</v>
      </c>
      <c r="G2252" s="1">
        <v>45741</v>
      </c>
      <c r="H2252" t="s">
        <v>12</v>
      </c>
      <c r="I2252" t="s">
        <v>25</v>
      </c>
      <c r="J2252">
        <v>5</v>
      </c>
      <c r="K2252" t="s">
        <v>4</v>
      </c>
      <c r="L2252" t="s">
        <v>171</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2339</v>
      </c>
      <c r="B2253" t="s">
        <v>7</v>
      </c>
      <c r="C2253">
        <v>2</v>
      </c>
      <c r="D2253">
        <v>39.1</v>
      </c>
      <c r="E2253">
        <v>78.2</v>
      </c>
      <c r="F2253" s="1">
        <v>45740</v>
      </c>
      <c r="G2253" s="1">
        <v>45741</v>
      </c>
      <c r="H2253" t="s">
        <v>8</v>
      </c>
      <c r="I2253" t="s">
        <v>3</v>
      </c>
      <c r="J2253">
        <v>3</v>
      </c>
      <c r="K2253" t="s">
        <v>4</v>
      </c>
      <c r="L2253" t="s">
        <v>171</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2340</v>
      </c>
      <c r="B2254" t="s">
        <v>1</v>
      </c>
      <c r="C2254">
        <v>1</v>
      </c>
      <c r="D2254">
        <v>37.200000000000003</v>
      </c>
      <c r="E2254">
        <v>37.200000000000003</v>
      </c>
      <c r="F2254" s="1">
        <v>45740</v>
      </c>
      <c r="G2254" s="1">
        <v>45741</v>
      </c>
      <c r="H2254" t="s">
        <v>8</v>
      </c>
      <c r="I2254" t="s">
        <v>3</v>
      </c>
      <c r="J2254">
        <v>3</v>
      </c>
      <c r="K2254" t="s">
        <v>4</v>
      </c>
      <c r="L2254" t="s">
        <v>83</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2341</v>
      </c>
      <c r="B2255" t="s">
        <v>108</v>
      </c>
      <c r="C2255">
        <v>3</v>
      </c>
      <c r="D2255">
        <v>33.9</v>
      </c>
      <c r="E2255">
        <v>101.69999999999999</v>
      </c>
      <c r="F2255" s="1">
        <v>45740</v>
      </c>
      <c r="G2255" s="1">
        <v>45742</v>
      </c>
      <c r="H2255" t="s">
        <v>8</v>
      </c>
      <c r="I2255" t="s">
        <v>25</v>
      </c>
      <c r="J2255">
        <v>4</v>
      </c>
      <c r="K2255" t="s">
        <v>4</v>
      </c>
      <c r="L2255" t="s">
        <v>40</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2342</v>
      </c>
      <c r="B2256" t="s">
        <v>27</v>
      </c>
      <c r="C2256">
        <v>15</v>
      </c>
      <c r="D2256">
        <v>73.3</v>
      </c>
      <c r="E2256">
        <v>1099.5</v>
      </c>
      <c r="F2256" s="1">
        <v>45740</v>
      </c>
      <c r="G2256" s="1">
        <v>45743</v>
      </c>
      <c r="H2256" t="s">
        <v>12</v>
      </c>
      <c r="I2256" t="s">
        <v>25</v>
      </c>
      <c r="J2256">
        <v>3</v>
      </c>
      <c r="K2256" t="s">
        <v>4</v>
      </c>
      <c r="L2256" t="s">
        <v>47</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2343</v>
      </c>
      <c r="B2257" t="s">
        <v>29</v>
      </c>
      <c r="C2257">
        <v>4</v>
      </c>
      <c r="D2257">
        <v>35</v>
      </c>
      <c r="E2257">
        <v>140</v>
      </c>
      <c r="F2257" s="1">
        <v>45740</v>
      </c>
      <c r="G2257" s="1">
        <v>45742</v>
      </c>
      <c r="H2257" t="s">
        <v>12</v>
      </c>
      <c r="I2257" t="s">
        <v>20</v>
      </c>
      <c r="J2257">
        <v>4</v>
      </c>
      <c r="K2257" t="s">
        <v>4</v>
      </c>
      <c r="L2257" t="s">
        <v>47</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2344</v>
      </c>
      <c r="B2258" t="s">
        <v>1</v>
      </c>
      <c r="C2258">
        <v>3</v>
      </c>
      <c r="D2258">
        <v>22.2</v>
      </c>
      <c r="E2258">
        <v>66.599999999999994</v>
      </c>
      <c r="F2258" s="1">
        <v>45740</v>
      </c>
      <c r="G2258" s="1">
        <v>45741</v>
      </c>
      <c r="H2258" t="s">
        <v>8</v>
      </c>
      <c r="I2258" t="s">
        <v>20</v>
      </c>
      <c r="J2258">
        <v>4</v>
      </c>
      <c r="K2258" t="s">
        <v>4</v>
      </c>
      <c r="L2258" t="s">
        <v>88</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2345</v>
      </c>
      <c r="B2259" t="s">
        <v>39</v>
      </c>
      <c r="C2259">
        <v>1</v>
      </c>
      <c r="D2259">
        <v>32.4</v>
      </c>
      <c r="E2259">
        <v>32.4</v>
      </c>
      <c r="F2259" s="1">
        <v>45740</v>
      </c>
      <c r="G2259" s="1">
        <v>45741</v>
      </c>
      <c r="H2259" t="s">
        <v>12</v>
      </c>
      <c r="I2259" t="s">
        <v>3</v>
      </c>
      <c r="J2259">
        <v>4</v>
      </c>
      <c r="K2259" t="s">
        <v>4</v>
      </c>
      <c r="L2259" t="s">
        <v>62</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2346</v>
      </c>
      <c r="B2260" t="s">
        <v>22</v>
      </c>
      <c r="C2260">
        <v>3</v>
      </c>
      <c r="D2260">
        <v>88.4</v>
      </c>
      <c r="E2260">
        <v>265.20000000000005</v>
      </c>
      <c r="F2260" s="1">
        <v>45741</v>
      </c>
      <c r="G2260" s="1">
        <v>45743</v>
      </c>
      <c r="H2260" t="s">
        <v>12</v>
      </c>
      <c r="I2260" t="s">
        <v>20</v>
      </c>
      <c r="J2260">
        <v>3</v>
      </c>
      <c r="K2260" t="s">
        <v>4</v>
      </c>
      <c r="L2260" t="s">
        <v>62</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2347</v>
      </c>
      <c r="B2261" t="s">
        <v>22</v>
      </c>
      <c r="C2261">
        <v>16</v>
      </c>
      <c r="D2261">
        <v>30.5</v>
      </c>
      <c r="E2261">
        <v>488</v>
      </c>
      <c r="F2261" s="1">
        <v>45741</v>
      </c>
      <c r="G2261" s="1">
        <v>45742</v>
      </c>
      <c r="H2261" t="s">
        <v>12</v>
      </c>
      <c r="I2261" t="s">
        <v>25</v>
      </c>
      <c r="J2261">
        <v>4</v>
      </c>
      <c r="K2261" t="s">
        <v>4</v>
      </c>
      <c r="L2261" t="s">
        <v>62</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2348</v>
      </c>
      <c r="B2262" t="s">
        <v>7</v>
      </c>
      <c r="C2262">
        <v>6</v>
      </c>
      <c r="D2262">
        <v>38.1</v>
      </c>
      <c r="E2262">
        <v>228.60000000000002</v>
      </c>
      <c r="F2262" s="1">
        <v>45741</v>
      </c>
      <c r="G2262" s="1">
        <v>45743</v>
      </c>
      <c r="H2262" t="s">
        <v>12</v>
      </c>
      <c r="I2262" t="s">
        <v>3</v>
      </c>
      <c r="J2262">
        <v>3</v>
      </c>
      <c r="K2262" t="s">
        <v>4</v>
      </c>
      <c r="L2262" t="s">
        <v>62</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2349</v>
      </c>
      <c r="B2263" t="s">
        <v>39</v>
      </c>
      <c r="C2263">
        <v>5</v>
      </c>
      <c r="D2263">
        <v>37.6</v>
      </c>
      <c r="E2263">
        <v>188</v>
      </c>
      <c r="F2263" s="1">
        <v>45741</v>
      </c>
      <c r="G2263" s="1">
        <v>45745</v>
      </c>
      <c r="H2263" t="s">
        <v>8</v>
      </c>
      <c r="I2263" t="s">
        <v>3</v>
      </c>
      <c r="J2263">
        <v>4</v>
      </c>
      <c r="K2263" t="s">
        <v>4</v>
      </c>
      <c r="L2263" t="s">
        <v>62</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2350</v>
      </c>
      <c r="B2264" t="s">
        <v>108</v>
      </c>
      <c r="C2264">
        <v>2</v>
      </c>
      <c r="D2264">
        <v>31.4</v>
      </c>
      <c r="E2264">
        <v>62.8</v>
      </c>
      <c r="F2264" s="1">
        <v>45741</v>
      </c>
      <c r="G2264" s="1">
        <v>45742</v>
      </c>
      <c r="H2264" t="s">
        <v>8</v>
      </c>
      <c r="I2264" t="s">
        <v>3</v>
      </c>
      <c r="J2264">
        <v>5</v>
      </c>
      <c r="K2264" t="s">
        <v>4</v>
      </c>
      <c r="L2264" t="s">
        <v>62</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2351</v>
      </c>
      <c r="B2265" t="s">
        <v>24</v>
      </c>
      <c r="C2265">
        <v>2</v>
      </c>
      <c r="D2265">
        <v>61.5</v>
      </c>
      <c r="E2265">
        <v>123</v>
      </c>
      <c r="F2265" s="1">
        <v>45741</v>
      </c>
      <c r="G2265" s="1">
        <v>45742</v>
      </c>
      <c r="H2265" t="s">
        <v>8</v>
      </c>
      <c r="I2265" t="s">
        <v>36</v>
      </c>
      <c r="J2265">
        <v>4</v>
      </c>
      <c r="K2265" t="s">
        <v>4</v>
      </c>
      <c r="L2265" t="s">
        <v>277</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2352</v>
      </c>
      <c r="B2266" t="s">
        <v>24</v>
      </c>
      <c r="C2266">
        <v>1</v>
      </c>
      <c r="D2266">
        <v>72.599999999999994</v>
      </c>
      <c r="E2266">
        <v>72.599999999999994</v>
      </c>
      <c r="F2266" s="1">
        <v>45741</v>
      </c>
      <c r="G2266" s="1">
        <v>45742</v>
      </c>
      <c r="H2266" t="s">
        <v>8</v>
      </c>
      <c r="I2266" t="s">
        <v>3</v>
      </c>
      <c r="J2266">
        <v>3</v>
      </c>
      <c r="K2266" t="s">
        <v>4</v>
      </c>
      <c r="L2266" t="s">
        <v>100</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2353</v>
      </c>
      <c r="B2267" t="s">
        <v>31</v>
      </c>
      <c r="C2267">
        <v>3</v>
      </c>
      <c r="D2267">
        <v>26.9</v>
      </c>
      <c r="E2267">
        <v>80.699999999999989</v>
      </c>
      <c r="F2267" s="1">
        <v>45741</v>
      </c>
      <c r="G2267" s="1">
        <v>45746</v>
      </c>
      <c r="H2267" t="s">
        <v>74</v>
      </c>
      <c r="I2267" t="s">
        <v>55</v>
      </c>
      <c r="J2267">
        <v>3</v>
      </c>
      <c r="K2267" t="s">
        <v>4</v>
      </c>
      <c r="L2267" t="s">
        <v>626</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2354</v>
      </c>
      <c r="B2268" t="s">
        <v>120</v>
      </c>
      <c r="C2268">
        <v>12</v>
      </c>
      <c r="D2268">
        <v>29.4</v>
      </c>
      <c r="E2268">
        <v>352.79999999999995</v>
      </c>
      <c r="F2268" s="1">
        <v>45741</v>
      </c>
      <c r="G2268" s="1">
        <v>45742</v>
      </c>
      <c r="H2268" t="s">
        <v>12</v>
      </c>
      <c r="I2268" t="s">
        <v>20</v>
      </c>
      <c r="J2268">
        <v>4</v>
      </c>
      <c r="K2268" t="s">
        <v>4</v>
      </c>
      <c r="L2268" t="s">
        <v>952</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2355</v>
      </c>
      <c r="B2269" t="s">
        <v>120</v>
      </c>
      <c r="C2269">
        <v>2</v>
      </c>
      <c r="D2269">
        <v>42.1</v>
      </c>
      <c r="E2269">
        <v>84.2</v>
      </c>
      <c r="F2269" s="1">
        <v>45741</v>
      </c>
      <c r="G2269" s="1">
        <v>45742</v>
      </c>
      <c r="H2269" t="s">
        <v>12</v>
      </c>
      <c r="I2269" t="s">
        <v>36</v>
      </c>
      <c r="J2269">
        <v>3</v>
      </c>
      <c r="K2269" t="s">
        <v>4</v>
      </c>
      <c r="L2269" t="s">
        <v>9</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2356</v>
      </c>
      <c r="B2270" t="s">
        <v>22</v>
      </c>
      <c r="C2270">
        <v>1</v>
      </c>
      <c r="D2270">
        <v>40.5</v>
      </c>
      <c r="E2270">
        <v>40.5</v>
      </c>
      <c r="F2270" s="1">
        <v>45741</v>
      </c>
      <c r="G2270" s="1">
        <v>45742</v>
      </c>
      <c r="H2270" t="s">
        <v>12</v>
      </c>
      <c r="I2270" t="s">
        <v>25</v>
      </c>
      <c r="J2270">
        <v>3</v>
      </c>
      <c r="K2270" t="s">
        <v>4</v>
      </c>
      <c r="L2270" t="s">
        <v>9</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2357</v>
      </c>
      <c r="B2271" t="s">
        <v>11</v>
      </c>
      <c r="C2271">
        <v>4</v>
      </c>
      <c r="D2271">
        <v>182.3</v>
      </c>
      <c r="E2271">
        <v>729.2</v>
      </c>
      <c r="F2271" s="1">
        <v>45741</v>
      </c>
      <c r="G2271" s="1">
        <v>45742</v>
      </c>
      <c r="H2271" t="s">
        <v>12</v>
      </c>
      <c r="I2271" t="s">
        <v>20</v>
      </c>
      <c r="J2271">
        <v>4</v>
      </c>
      <c r="K2271" t="s">
        <v>4</v>
      </c>
      <c r="L2271" t="s">
        <v>9</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2358</v>
      </c>
      <c r="B2272" t="s">
        <v>11</v>
      </c>
      <c r="C2272">
        <v>5</v>
      </c>
      <c r="D2272">
        <v>157</v>
      </c>
      <c r="E2272">
        <v>785</v>
      </c>
      <c r="F2272" s="1">
        <v>45741</v>
      </c>
      <c r="G2272" s="1">
        <v>45744</v>
      </c>
      <c r="H2272" t="s">
        <v>12</v>
      </c>
      <c r="I2272" t="s">
        <v>20</v>
      </c>
      <c r="J2272">
        <v>5</v>
      </c>
      <c r="K2272" t="s">
        <v>4</v>
      </c>
      <c r="L2272" t="s">
        <v>13</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2359</v>
      </c>
      <c r="B2273" t="s">
        <v>120</v>
      </c>
      <c r="C2273">
        <v>5</v>
      </c>
      <c r="D2273">
        <v>45.2</v>
      </c>
      <c r="E2273">
        <v>226</v>
      </c>
      <c r="F2273" s="1">
        <v>45741</v>
      </c>
      <c r="G2273" s="1">
        <v>45744</v>
      </c>
      <c r="H2273" t="s">
        <v>12</v>
      </c>
      <c r="I2273" t="s">
        <v>20</v>
      </c>
      <c r="J2273">
        <v>4</v>
      </c>
      <c r="K2273" t="s">
        <v>4</v>
      </c>
      <c r="L2273" t="s">
        <v>132</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2360</v>
      </c>
      <c r="B2274" t="s">
        <v>108</v>
      </c>
      <c r="C2274">
        <v>4</v>
      </c>
      <c r="D2274">
        <v>27.4</v>
      </c>
      <c r="E2274">
        <v>109.6</v>
      </c>
      <c r="F2274" s="1">
        <v>45741</v>
      </c>
      <c r="G2274" s="1">
        <v>45743</v>
      </c>
      <c r="H2274" t="s">
        <v>12</v>
      </c>
      <c r="I2274" t="s">
        <v>3</v>
      </c>
      <c r="J2274">
        <v>4</v>
      </c>
      <c r="K2274" t="s">
        <v>4</v>
      </c>
      <c r="L2274" t="s">
        <v>18</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2361</v>
      </c>
      <c r="B2275" t="s">
        <v>22</v>
      </c>
      <c r="C2275">
        <v>5</v>
      </c>
      <c r="D2275">
        <v>34.1</v>
      </c>
      <c r="E2275">
        <v>170.5</v>
      </c>
      <c r="F2275" s="1">
        <v>45741</v>
      </c>
      <c r="G2275" s="1">
        <v>45743</v>
      </c>
      <c r="H2275" t="s">
        <v>8</v>
      </c>
      <c r="I2275" t="s">
        <v>3</v>
      </c>
      <c r="J2275">
        <v>5</v>
      </c>
      <c r="K2275" t="s">
        <v>4</v>
      </c>
      <c r="L2275" t="s">
        <v>18</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2362</v>
      </c>
      <c r="B2276" t="s">
        <v>1</v>
      </c>
      <c r="C2276">
        <v>2</v>
      </c>
      <c r="D2276">
        <v>26</v>
      </c>
      <c r="E2276">
        <v>52</v>
      </c>
      <c r="F2276" s="1">
        <v>45741</v>
      </c>
      <c r="G2276" s="1">
        <v>45743</v>
      </c>
      <c r="H2276" t="s">
        <v>8</v>
      </c>
      <c r="I2276" t="s">
        <v>25</v>
      </c>
      <c r="J2276">
        <v>3</v>
      </c>
      <c r="K2276" t="s">
        <v>4</v>
      </c>
      <c r="L2276" t="s">
        <v>18</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2363</v>
      </c>
      <c r="B2277" t="s">
        <v>29</v>
      </c>
      <c r="C2277">
        <v>7</v>
      </c>
      <c r="D2277">
        <v>19.399999999999999</v>
      </c>
      <c r="E2277">
        <v>135.79999999999998</v>
      </c>
      <c r="F2277" s="1">
        <v>45741</v>
      </c>
      <c r="G2277" s="1">
        <v>45743</v>
      </c>
      <c r="H2277" t="s">
        <v>2</v>
      </c>
      <c r="I2277" t="s">
        <v>20</v>
      </c>
      <c r="J2277">
        <v>3</v>
      </c>
      <c r="K2277" t="s">
        <v>4</v>
      </c>
      <c r="L2277" t="s">
        <v>18</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2364</v>
      </c>
      <c r="B2278" t="s">
        <v>113</v>
      </c>
      <c r="C2278">
        <v>3</v>
      </c>
      <c r="D2278">
        <v>30.3</v>
      </c>
      <c r="E2278">
        <v>90.9</v>
      </c>
      <c r="F2278" s="1">
        <v>45741</v>
      </c>
      <c r="G2278" s="1">
        <v>45744</v>
      </c>
      <c r="H2278" t="s">
        <v>12</v>
      </c>
      <c r="I2278" t="s">
        <v>20</v>
      </c>
      <c r="J2278">
        <v>5</v>
      </c>
      <c r="K2278" t="s">
        <v>4</v>
      </c>
      <c r="L2278" t="s">
        <v>18</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2365</v>
      </c>
      <c r="B2279" t="s">
        <v>11</v>
      </c>
      <c r="C2279">
        <v>3</v>
      </c>
      <c r="D2279">
        <v>101.4</v>
      </c>
      <c r="E2279">
        <v>304.20000000000005</v>
      </c>
      <c r="F2279" s="1">
        <v>45741</v>
      </c>
      <c r="G2279" s="1">
        <v>45742</v>
      </c>
      <c r="H2279" t="s">
        <v>8</v>
      </c>
      <c r="I2279" t="s">
        <v>3</v>
      </c>
      <c r="J2279">
        <v>4</v>
      </c>
      <c r="K2279" t="s">
        <v>4</v>
      </c>
      <c r="L2279" t="s">
        <v>18</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2366</v>
      </c>
      <c r="B2280" t="s">
        <v>15</v>
      </c>
      <c r="C2280">
        <v>5</v>
      </c>
      <c r="D2280">
        <v>55.5</v>
      </c>
      <c r="E2280">
        <v>277.5</v>
      </c>
      <c r="F2280" s="1">
        <v>45741</v>
      </c>
      <c r="G2280" s="1">
        <v>45744</v>
      </c>
      <c r="H2280" t="s">
        <v>8</v>
      </c>
      <c r="I2280" t="s">
        <v>20</v>
      </c>
      <c r="J2280">
        <v>4</v>
      </c>
      <c r="K2280" t="s">
        <v>4</v>
      </c>
      <c r="L2280" t="s">
        <v>171</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2367</v>
      </c>
      <c r="B2281" t="s">
        <v>29</v>
      </c>
      <c r="C2281">
        <v>1</v>
      </c>
      <c r="D2281">
        <v>23.1</v>
      </c>
      <c r="E2281">
        <v>23.1</v>
      </c>
      <c r="F2281" s="1">
        <v>45741</v>
      </c>
      <c r="G2281" s="1">
        <v>45742</v>
      </c>
      <c r="H2281" t="s">
        <v>8</v>
      </c>
      <c r="I2281" t="s">
        <v>3</v>
      </c>
      <c r="J2281">
        <v>4</v>
      </c>
      <c r="K2281" t="s">
        <v>4</v>
      </c>
      <c r="L2281" t="s">
        <v>173</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2368</v>
      </c>
      <c r="B2282" t="s">
        <v>131</v>
      </c>
      <c r="C2282">
        <v>2</v>
      </c>
      <c r="D2282">
        <v>38.9</v>
      </c>
      <c r="E2282">
        <v>77.8</v>
      </c>
      <c r="F2282" s="1">
        <v>45741</v>
      </c>
      <c r="G2282" s="1">
        <v>45742</v>
      </c>
      <c r="H2282" t="s">
        <v>8</v>
      </c>
      <c r="I2282" t="s">
        <v>25</v>
      </c>
      <c r="J2282">
        <v>4</v>
      </c>
      <c r="K2282" t="s">
        <v>4</v>
      </c>
      <c r="L2282" t="s">
        <v>173</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2369</v>
      </c>
      <c r="B2283" t="s">
        <v>24</v>
      </c>
      <c r="C2283">
        <v>9</v>
      </c>
      <c r="D2283">
        <v>116.3</v>
      </c>
      <c r="E2283">
        <v>1046.7</v>
      </c>
      <c r="F2283" s="1">
        <v>45741</v>
      </c>
      <c r="G2283" s="1">
        <v>45745</v>
      </c>
      <c r="H2283" t="s">
        <v>12</v>
      </c>
      <c r="I2283" t="s">
        <v>3</v>
      </c>
      <c r="J2283">
        <v>4</v>
      </c>
      <c r="K2283" t="s">
        <v>4</v>
      </c>
      <c r="L2283" t="s">
        <v>37</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2370</v>
      </c>
      <c r="B2284" t="s">
        <v>113</v>
      </c>
      <c r="C2284">
        <v>9</v>
      </c>
      <c r="D2284">
        <v>64.099999999999994</v>
      </c>
      <c r="E2284">
        <v>576.9</v>
      </c>
      <c r="F2284" s="1">
        <v>45741</v>
      </c>
      <c r="G2284" s="1">
        <v>45741</v>
      </c>
      <c r="H2284" t="s">
        <v>12</v>
      </c>
      <c r="I2284" t="s">
        <v>3</v>
      </c>
      <c r="J2284">
        <v>5</v>
      </c>
      <c r="K2284" t="s">
        <v>4</v>
      </c>
      <c r="L2284" t="s">
        <v>40</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2371</v>
      </c>
      <c r="B2285" t="s">
        <v>11</v>
      </c>
      <c r="C2285">
        <v>6</v>
      </c>
      <c r="D2285">
        <v>109.2</v>
      </c>
      <c r="E2285">
        <v>655.20000000000005</v>
      </c>
      <c r="F2285" s="1">
        <v>45741</v>
      </c>
      <c r="G2285" s="1">
        <v>45743</v>
      </c>
      <c r="H2285" t="s">
        <v>8</v>
      </c>
      <c r="I2285" t="s">
        <v>3</v>
      </c>
      <c r="J2285">
        <v>3</v>
      </c>
      <c r="K2285" t="s">
        <v>4</v>
      </c>
      <c r="L2285" t="s">
        <v>47</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2372</v>
      </c>
      <c r="B2286" t="s">
        <v>39</v>
      </c>
      <c r="C2286">
        <v>5</v>
      </c>
      <c r="D2286">
        <v>23.2</v>
      </c>
      <c r="E2286">
        <v>116</v>
      </c>
      <c r="F2286" s="1">
        <v>45742</v>
      </c>
      <c r="G2286" s="1">
        <v>45743</v>
      </c>
      <c r="H2286" t="s">
        <v>8</v>
      </c>
      <c r="I2286" t="s">
        <v>3</v>
      </c>
      <c r="J2286">
        <v>3</v>
      </c>
      <c r="K2286" t="s">
        <v>4</v>
      </c>
      <c r="L2286" t="s">
        <v>47</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2373</v>
      </c>
      <c r="B2287" t="s">
        <v>131</v>
      </c>
      <c r="C2287">
        <v>6</v>
      </c>
      <c r="D2287">
        <v>81.2</v>
      </c>
      <c r="E2287">
        <v>487.20000000000005</v>
      </c>
      <c r="F2287" s="1">
        <v>45742</v>
      </c>
      <c r="G2287" s="1">
        <v>45744</v>
      </c>
      <c r="H2287" t="s">
        <v>8</v>
      </c>
      <c r="I2287" t="s">
        <v>25</v>
      </c>
      <c r="J2287">
        <v>5</v>
      </c>
      <c r="K2287" t="s">
        <v>4</v>
      </c>
      <c r="L2287" t="s">
        <v>47</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2374</v>
      </c>
      <c r="B2288" t="s">
        <v>7</v>
      </c>
      <c r="C2288">
        <v>14</v>
      </c>
      <c r="D2288">
        <v>35.700000000000003</v>
      </c>
      <c r="E2288">
        <v>499.80000000000007</v>
      </c>
      <c r="F2288" s="1">
        <v>45742</v>
      </c>
      <c r="G2288" s="1">
        <v>45743</v>
      </c>
      <c r="H2288" t="s">
        <v>8</v>
      </c>
      <c r="I2288" t="s">
        <v>36</v>
      </c>
      <c r="J2288">
        <v>4</v>
      </c>
      <c r="K2288" t="s">
        <v>4</v>
      </c>
      <c r="L2288" t="s">
        <v>47</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2375</v>
      </c>
      <c r="B2289" t="s">
        <v>27</v>
      </c>
      <c r="C2289">
        <v>2</v>
      </c>
      <c r="D2289">
        <v>44.5</v>
      </c>
      <c r="E2289">
        <v>89</v>
      </c>
      <c r="F2289" s="1">
        <v>45742</v>
      </c>
      <c r="G2289" s="1">
        <v>45745</v>
      </c>
      <c r="H2289" t="s">
        <v>8</v>
      </c>
      <c r="I2289" t="s">
        <v>55</v>
      </c>
      <c r="J2289">
        <v>4</v>
      </c>
      <c r="K2289" t="s">
        <v>4</v>
      </c>
      <c r="L2289" t="s">
        <v>57</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2376</v>
      </c>
      <c r="B2290" t="s">
        <v>7</v>
      </c>
      <c r="C2290">
        <v>5</v>
      </c>
      <c r="D2290">
        <v>32</v>
      </c>
      <c r="E2290">
        <v>160</v>
      </c>
      <c r="F2290" s="1">
        <v>45742</v>
      </c>
      <c r="G2290" s="1">
        <v>45744</v>
      </c>
      <c r="H2290" t="s">
        <v>74</v>
      </c>
      <c r="I2290" t="s">
        <v>20</v>
      </c>
      <c r="J2290">
        <v>3</v>
      </c>
      <c r="K2290" t="s">
        <v>4</v>
      </c>
      <c r="L2290" t="s">
        <v>57</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2377</v>
      </c>
      <c r="B2291" t="s">
        <v>29</v>
      </c>
      <c r="C2291">
        <v>1</v>
      </c>
      <c r="D2291">
        <v>25.7</v>
      </c>
      <c r="E2291">
        <v>25.7</v>
      </c>
      <c r="F2291" s="1">
        <v>45742</v>
      </c>
      <c r="G2291" s="1">
        <v>45743</v>
      </c>
      <c r="H2291" t="s">
        <v>8</v>
      </c>
      <c r="I2291" t="s">
        <v>3</v>
      </c>
      <c r="J2291">
        <v>4</v>
      </c>
      <c r="K2291" t="s">
        <v>4</v>
      </c>
      <c r="L2291" t="s">
        <v>59</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2378</v>
      </c>
      <c r="B2292" t="s">
        <v>113</v>
      </c>
      <c r="C2292">
        <v>3</v>
      </c>
      <c r="D2292">
        <v>65.599999999999994</v>
      </c>
      <c r="E2292">
        <v>196.79999999999998</v>
      </c>
      <c r="F2292" s="1">
        <v>45742</v>
      </c>
      <c r="G2292" s="1">
        <v>45748</v>
      </c>
      <c r="H2292" t="s">
        <v>8</v>
      </c>
      <c r="I2292" t="s">
        <v>3</v>
      </c>
      <c r="J2292">
        <v>4</v>
      </c>
      <c r="K2292" t="s">
        <v>4</v>
      </c>
      <c r="L2292" t="s">
        <v>62</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2379</v>
      </c>
      <c r="B2293" t="s">
        <v>7</v>
      </c>
      <c r="C2293">
        <v>4</v>
      </c>
      <c r="D2293">
        <v>52.1</v>
      </c>
      <c r="E2293">
        <v>208.4</v>
      </c>
      <c r="F2293" s="1">
        <v>45742</v>
      </c>
      <c r="G2293" s="1">
        <v>45743</v>
      </c>
      <c r="H2293" t="s">
        <v>12</v>
      </c>
      <c r="I2293" t="s">
        <v>3</v>
      </c>
      <c r="J2293">
        <v>5</v>
      </c>
      <c r="K2293" t="s">
        <v>4</v>
      </c>
      <c r="L2293" t="s">
        <v>62</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2380</v>
      </c>
      <c r="B2294" t="s">
        <v>29</v>
      </c>
      <c r="C2294">
        <v>1</v>
      </c>
      <c r="D2294">
        <v>31</v>
      </c>
      <c r="E2294">
        <v>31</v>
      </c>
      <c r="F2294" s="1">
        <v>45742</v>
      </c>
      <c r="G2294" s="1">
        <v>45743</v>
      </c>
      <c r="H2294" t="s">
        <v>8</v>
      </c>
      <c r="I2294" t="s">
        <v>3</v>
      </c>
      <c r="J2294">
        <v>3</v>
      </c>
      <c r="K2294" t="s">
        <v>4</v>
      </c>
      <c r="L2294" t="s">
        <v>95</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2381</v>
      </c>
      <c r="B2295" t="s">
        <v>29</v>
      </c>
      <c r="C2295">
        <v>1</v>
      </c>
      <c r="D2295">
        <v>32</v>
      </c>
      <c r="E2295">
        <v>32</v>
      </c>
      <c r="F2295" s="1">
        <v>45742</v>
      </c>
      <c r="G2295" s="1">
        <v>45744</v>
      </c>
      <c r="H2295" t="s">
        <v>74</v>
      </c>
      <c r="I2295" t="s">
        <v>36</v>
      </c>
      <c r="J2295">
        <v>3</v>
      </c>
      <c r="K2295" t="s">
        <v>4</v>
      </c>
      <c r="L2295" t="s">
        <v>277</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2382</v>
      </c>
      <c r="B2296" t="s">
        <v>113</v>
      </c>
      <c r="C2296">
        <v>4</v>
      </c>
      <c r="D2296">
        <v>58.3</v>
      </c>
      <c r="E2296">
        <v>233.2</v>
      </c>
      <c r="F2296" s="1">
        <v>45742</v>
      </c>
      <c r="G2296" s="1">
        <v>45746</v>
      </c>
      <c r="H2296" t="s">
        <v>8</v>
      </c>
      <c r="I2296" t="s">
        <v>20</v>
      </c>
      <c r="J2296">
        <v>2</v>
      </c>
      <c r="K2296" t="s">
        <v>4</v>
      </c>
      <c r="L2296" t="s">
        <v>98</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2383</v>
      </c>
      <c r="B2297" t="s">
        <v>29</v>
      </c>
      <c r="C2297">
        <v>3</v>
      </c>
      <c r="D2297">
        <v>31</v>
      </c>
      <c r="E2297">
        <v>93</v>
      </c>
      <c r="F2297" s="1">
        <v>45742</v>
      </c>
      <c r="G2297" s="1">
        <v>45744</v>
      </c>
      <c r="H2297" t="s">
        <v>12</v>
      </c>
      <c r="I2297" t="s">
        <v>25</v>
      </c>
      <c r="J2297">
        <v>2</v>
      </c>
      <c r="K2297" t="s">
        <v>4</v>
      </c>
      <c r="L2297" t="s">
        <v>67</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2384</v>
      </c>
      <c r="B2298" t="s">
        <v>15</v>
      </c>
      <c r="C2298">
        <v>1</v>
      </c>
      <c r="D2298">
        <v>40.299999999999997</v>
      </c>
      <c r="E2298">
        <v>40.299999999999997</v>
      </c>
      <c r="F2298" s="1">
        <v>45742</v>
      </c>
      <c r="G2298" s="1">
        <v>45743</v>
      </c>
      <c r="H2298" t="s">
        <v>8</v>
      </c>
      <c r="I2298" t="s">
        <v>20</v>
      </c>
      <c r="J2298">
        <v>5</v>
      </c>
      <c r="K2298" t="s">
        <v>4</v>
      </c>
      <c r="L2298" t="s">
        <v>1368</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2385</v>
      </c>
      <c r="B2299" t="s">
        <v>24</v>
      </c>
      <c r="C2299">
        <v>3</v>
      </c>
      <c r="D2299">
        <v>47.3</v>
      </c>
      <c r="E2299">
        <v>141.89999999999998</v>
      </c>
      <c r="F2299" s="1">
        <v>45742</v>
      </c>
      <c r="G2299" s="1">
        <v>45744</v>
      </c>
      <c r="H2299" t="s">
        <v>8</v>
      </c>
      <c r="I2299" t="s">
        <v>55</v>
      </c>
      <c r="J2299">
        <v>5</v>
      </c>
      <c r="K2299" t="s">
        <v>4</v>
      </c>
      <c r="L2299" t="s">
        <v>13</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2386</v>
      </c>
      <c r="B2300" t="s">
        <v>11</v>
      </c>
      <c r="C2300">
        <v>1</v>
      </c>
      <c r="D2300">
        <v>82.8</v>
      </c>
      <c r="E2300">
        <v>82.8</v>
      </c>
      <c r="F2300" s="1">
        <v>45742</v>
      </c>
      <c r="G2300" s="1">
        <v>45743</v>
      </c>
      <c r="H2300" t="s">
        <v>8</v>
      </c>
      <c r="I2300" t="s">
        <v>3</v>
      </c>
      <c r="J2300">
        <v>4</v>
      </c>
      <c r="K2300" t="s">
        <v>4</v>
      </c>
      <c r="L2300" t="s">
        <v>13</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2387</v>
      </c>
      <c r="B2301" t="s">
        <v>29</v>
      </c>
      <c r="C2301">
        <v>1</v>
      </c>
      <c r="D2301">
        <v>18.5</v>
      </c>
      <c r="E2301">
        <v>18.5</v>
      </c>
      <c r="F2301" s="1">
        <v>45742</v>
      </c>
      <c r="G2301" s="1">
        <v>45756</v>
      </c>
      <c r="H2301" t="s">
        <v>12</v>
      </c>
      <c r="I2301" t="s">
        <v>3</v>
      </c>
      <c r="J2301">
        <v>4</v>
      </c>
      <c r="K2301" t="s">
        <v>4</v>
      </c>
      <c r="L2301" t="s">
        <v>572</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2388</v>
      </c>
      <c r="B2302" t="s">
        <v>15</v>
      </c>
      <c r="C2302">
        <v>2</v>
      </c>
      <c r="D2302">
        <v>60.4</v>
      </c>
      <c r="E2302">
        <v>120.8</v>
      </c>
      <c r="F2302" s="1">
        <v>45742</v>
      </c>
      <c r="G2302" s="1">
        <v>45743</v>
      </c>
      <c r="H2302" t="s">
        <v>8</v>
      </c>
      <c r="I2302" t="s">
        <v>25</v>
      </c>
      <c r="J2302">
        <v>4</v>
      </c>
      <c r="K2302" t="s">
        <v>4</v>
      </c>
      <c r="L2302" t="s">
        <v>132</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2389</v>
      </c>
      <c r="B2303" t="s">
        <v>24</v>
      </c>
      <c r="C2303">
        <v>5</v>
      </c>
      <c r="D2303">
        <v>80.2</v>
      </c>
      <c r="E2303">
        <v>401</v>
      </c>
      <c r="F2303" s="1">
        <v>45742</v>
      </c>
      <c r="G2303" s="1">
        <v>45749</v>
      </c>
      <c r="H2303" t="s">
        <v>8</v>
      </c>
      <c r="I2303" t="s">
        <v>20</v>
      </c>
      <c r="J2303">
        <v>3</v>
      </c>
      <c r="K2303" t="s">
        <v>4</v>
      </c>
      <c r="L2303" t="s">
        <v>934</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2390</v>
      </c>
      <c r="B2304" t="s">
        <v>17</v>
      </c>
      <c r="C2304">
        <v>1</v>
      </c>
      <c r="D2304">
        <v>41.5</v>
      </c>
      <c r="E2304">
        <v>41.5</v>
      </c>
      <c r="F2304" s="1">
        <v>45742</v>
      </c>
      <c r="G2304" s="1">
        <v>45744</v>
      </c>
      <c r="H2304" t="s">
        <v>8</v>
      </c>
      <c r="I2304" t="s">
        <v>25</v>
      </c>
      <c r="J2304">
        <v>4</v>
      </c>
      <c r="K2304" t="s">
        <v>4</v>
      </c>
      <c r="L2304" t="s">
        <v>18</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2391</v>
      </c>
      <c r="B2305" t="s">
        <v>11</v>
      </c>
      <c r="C2305">
        <v>2</v>
      </c>
      <c r="D2305">
        <v>83.9</v>
      </c>
      <c r="E2305">
        <v>167.8</v>
      </c>
      <c r="F2305" s="1">
        <v>45742</v>
      </c>
      <c r="G2305" s="1">
        <v>45745</v>
      </c>
      <c r="H2305" t="s">
        <v>12</v>
      </c>
      <c r="I2305" t="s">
        <v>3</v>
      </c>
      <c r="J2305">
        <v>4</v>
      </c>
      <c r="K2305" t="s">
        <v>4</v>
      </c>
      <c r="L2305" t="s">
        <v>18</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2392</v>
      </c>
      <c r="B2306" t="s">
        <v>29</v>
      </c>
      <c r="C2306">
        <v>2</v>
      </c>
      <c r="D2306">
        <v>16.7</v>
      </c>
      <c r="E2306">
        <v>33.4</v>
      </c>
      <c r="F2306" s="1">
        <v>45742</v>
      </c>
      <c r="G2306" s="1">
        <v>45746</v>
      </c>
      <c r="H2306" t="s">
        <v>12</v>
      </c>
      <c r="I2306" t="s">
        <v>3</v>
      </c>
      <c r="J2306">
        <v>3</v>
      </c>
      <c r="K2306" t="s">
        <v>4</v>
      </c>
      <c r="L2306" t="s">
        <v>18</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2393</v>
      </c>
      <c r="B2307" t="s">
        <v>31</v>
      </c>
      <c r="C2307">
        <v>2</v>
      </c>
      <c r="D2307">
        <v>72.900000000000006</v>
      </c>
      <c r="E2307">
        <v>145.80000000000001</v>
      </c>
      <c r="F2307" s="1">
        <v>45742</v>
      </c>
      <c r="G2307" s="1">
        <v>45743</v>
      </c>
      <c r="H2307" t="s">
        <v>8</v>
      </c>
      <c r="I2307" t="s">
        <v>25</v>
      </c>
      <c r="J2307">
        <v>3</v>
      </c>
      <c r="K2307" t="s">
        <v>4</v>
      </c>
      <c r="L2307" t="s">
        <v>18</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2394</v>
      </c>
      <c r="B2308" t="s">
        <v>22</v>
      </c>
      <c r="C2308">
        <v>2</v>
      </c>
      <c r="D2308">
        <v>50.2</v>
      </c>
      <c r="E2308">
        <v>100.4</v>
      </c>
      <c r="F2308" s="1">
        <v>45742</v>
      </c>
      <c r="G2308" s="1">
        <v>45744</v>
      </c>
      <c r="H2308" t="s">
        <v>12</v>
      </c>
      <c r="I2308" t="s">
        <v>20</v>
      </c>
      <c r="J2308">
        <v>5</v>
      </c>
      <c r="K2308" t="s">
        <v>4</v>
      </c>
      <c r="L2308" t="s">
        <v>18</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2395</v>
      </c>
      <c r="B2309" t="s">
        <v>15</v>
      </c>
      <c r="C2309">
        <v>2</v>
      </c>
      <c r="D2309">
        <v>34.200000000000003</v>
      </c>
      <c r="E2309">
        <v>68.400000000000006</v>
      </c>
      <c r="F2309" s="1">
        <v>45742</v>
      </c>
      <c r="G2309" s="1">
        <v>45752</v>
      </c>
      <c r="H2309" t="s">
        <v>2</v>
      </c>
      <c r="I2309" t="s">
        <v>20</v>
      </c>
      <c r="J2309">
        <v>4</v>
      </c>
      <c r="K2309" t="s">
        <v>4</v>
      </c>
      <c r="L2309" t="s">
        <v>18</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2396</v>
      </c>
      <c r="B2310" t="s">
        <v>22</v>
      </c>
      <c r="C2310">
        <v>2</v>
      </c>
      <c r="D2310">
        <v>107.9</v>
      </c>
      <c r="E2310">
        <v>215.8</v>
      </c>
      <c r="F2310" s="1">
        <v>45742</v>
      </c>
      <c r="G2310" s="1">
        <v>45742</v>
      </c>
      <c r="H2310" t="s">
        <v>8</v>
      </c>
      <c r="I2310" t="s">
        <v>20</v>
      </c>
      <c r="J2310">
        <v>2</v>
      </c>
      <c r="K2310" t="s">
        <v>4</v>
      </c>
      <c r="L2310" t="s">
        <v>18</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2397</v>
      </c>
      <c r="B2311" t="s">
        <v>1</v>
      </c>
      <c r="C2311">
        <v>3</v>
      </c>
      <c r="D2311">
        <v>17.5</v>
      </c>
      <c r="E2311">
        <v>52.5</v>
      </c>
      <c r="F2311" s="1">
        <v>45742</v>
      </c>
      <c r="G2311" s="1">
        <v>45744</v>
      </c>
      <c r="H2311" t="s">
        <v>8</v>
      </c>
      <c r="I2311" t="s">
        <v>55</v>
      </c>
      <c r="J2311">
        <v>4</v>
      </c>
      <c r="K2311" t="s">
        <v>4</v>
      </c>
      <c r="L2311" t="s">
        <v>18</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2398</v>
      </c>
      <c r="B2312" t="s">
        <v>61</v>
      </c>
      <c r="C2312">
        <v>15</v>
      </c>
      <c r="D2312">
        <v>44.7</v>
      </c>
      <c r="E2312">
        <v>670.5</v>
      </c>
      <c r="F2312" s="1">
        <v>45742</v>
      </c>
      <c r="G2312" s="1">
        <v>45743</v>
      </c>
      <c r="H2312" t="s">
        <v>8</v>
      </c>
      <c r="I2312" t="s">
        <v>3</v>
      </c>
      <c r="J2312">
        <v>3</v>
      </c>
      <c r="K2312" t="s">
        <v>4</v>
      </c>
      <c r="L2312" t="s">
        <v>18</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2399</v>
      </c>
      <c r="B2313" t="s">
        <v>54</v>
      </c>
      <c r="C2313">
        <v>6</v>
      </c>
      <c r="D2313">
        <v>92.7</v>
      </c>
      <c r="E2313">
        <v>556.20000000000005</v>
      </c>
      <c r="F2313" s="1">
        <v>45742</v>
      </c>
      <c r="G2313" s="1">
        <v>45744</v>
      </c>
      <c r="H2313" t="s">
        <v>12</v>
      </c>
      <c r="I2313" t="s">
        <v>25</v>
      </c>
      <c r="J2313">
        <v>3</v>
      </c>
      <c r="K2313" t="s">
        <v>4</v>
      </c>
      <c r="L2313" t="s">
        <v>18</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2400</v>
      </c>
      <c r="B2314" t="s">
        <v>27</v>
      </c>
      <c r="C2314">
        <v>3</v>
      </c>
      <c r="D2314">
        <v>48.8</v>
      </c>
      <c r="E2314">
        <v>146.39999999999998</v>
      </c>
      <c r="F2314" s="1">
        <v>45742</v>
      </c>
      <c r="G2314" s="1">
        <v>45744</v>
      </c>
      <c r="H2314" t="s">
        <v>12</v>
      </c>
      <c r="I2314" t="s">
        <v>25</v>
      </c>
      <c r="J2314">
        <v>4</v>
      </c>
      <c r="K2314" t="s">
        <v>4</v>
      </c>
      <c r="L2314" t="s">
        <v>18</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2401</v>
      </c>
      <c r="B2315" t="s">
        <v>17</v>
      </c>
      <c r="C2315">
        <v>16</v>
      </c>
      <c r="D2315">
        <v>21.3</v>
      </c>
      <c r="E2315">
        <v>340.8</v>
      </c>
      <c r="F2315" s="1">
        <v>45742</v>
      </c>
      <c r="G2315" s="1">
        <v>45746</v>
      </c>
      <c r="H2315" t="s">
        <v>12</v>
      </c>
      <c r="I2315" t="s">
        <v>36</v>
      </c>
      <c r="J2315">
        <v>1</v>
      </c>
      <c r="K2315" t="s">
        <v>4</v>
      </c>
      <c r="L2315" t="s">
        <v>18</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2402</v>
      </c>
      <c r="B2316" t="s">
        <v>113</v>
      </c>
      <c r="C2316">
        <v>1</v>
      </c>
      <c r="D2316">
        <v>52.5</v>
      </c>
      <c r="E2316">
        <v>52.5</v>
      </c>
      <c r="F2316" s="1">
        <v>45742</v>
      </c>
      <c r="G2316" s="1">
        <v>45743</v>
      </c>
      <c r="H2316" t="s">
        <v>12</v>
      </c>
      <c r="I2316" t="s">
        <v>3</v>
      </c>
      <c r="J2316">
        <v>4</v>
      </c>
      <c r="K2316" t="s">
        <v>4</v>
      </c>
      <c r="L2316" t="s">
        <v>18</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2403</v>
      </c>
      <c r="B2317" t="s">
        <v>7</v>
      </c>
      <c r="C2317">
        <v>2</v>
      </c>
      <c r="D2317">
        <v>92.4</v>
      </c>
      <c r="E2317">
        <v>184.8</v>
      </c>
      <c r="F2317" s="1">
        <v>45742</v>
      </c>
      <c r="G2317" s="1">
        <v>45748</v>
      </c>
      <c r="H2317" t="s">
        <v>12</v>
      </c>
      <c r="I2317" t="s">
        <v>3</v>
      </c>
      <c r="J2317">
        <v>5</v>
      </c>
      <c r="K2317" t="s">
        <v>4</v>
      </c>
      <c r="L2317" t="s">
        <v>18</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2404</v>
      </c>
      <c r="B2318" t="s">
        <v>17</v>
      </c>
      <c r="C2318">
        <v>11</v>
      </c>
      <c r="D2318">
        <v>58.3</v>
      </c>
      <c r="E2318">
        <v>641.29999999999995</v>
      </c>
      <c r="F2318" s="1">
        <v>45742</v>
      </c>
      <c r="G2318" s="1">
        <v>45744</v>
      </c>
      <c r="H2318" t="s">
        <v>8</v>
      </c>
      <c r="I2318" t="s">
        <v>20</v>
      </c>
      <c r="J2318">
        <v>5</v>
      </c>
      <c r="K2318" t="s">
        <v>4</v>
      </c>
      <c r="L2318" t="s">
        <v>18</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2405</v>
      </c>
      <c r="B2319" t="s">
        <v>24</v>
      </c>
      <c r="C2319">
        <v>23</v>
      </c>
      <c r="D2319">
        <v>152.6</v>
      </c>
      <c r="E2319">
        <v>3509.7999999999997</v>
      </c>
      <c r="F2319" s="1">
        <v>45743</v>
      </c>
      <c r="G2319" s="1">
        <v>45745</v>
      </c>
      <c r="H2319" t="s">
        <v>2</v>
      </c>
      <c r="I2319" t="s">
        <v>3</v>
      </c>
      <c r="J2319">
        <v>4</v>
      </c>
      <c r="K2319" t="s">
        <v>4</v>
      </c>
      <c r="L2319" t="s">
        <v>18</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2406</v>
      </c>
      <c r="B2320" t="s">
        <v>29</v>
      </c>
      <c r="C2320">
        <v>2</v>
      </c>
      <c r="D2320">
        <v>26</v>
      </c>
      <c r="E2320">
        <v>52</v>
      </c>
      <c r="F2320" s="1">
        <v>45743</v>
      </c>
      <c r="G2320" s="1">
        <v>45743</v>
      </c>
      <c r="H2320" t="s">
        <v>2</v>
      </c>
      <c r="I2320" t="s">
        <v>3</v>
      </c>
      <c r="J2320">
        <v>3</v>
      </c>
      <c r="K2320" t="s">
        <v>4</v>
      </c>
      <c r="L2320" t="s">
        <v>18</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2407</v>
      </c>
      <c r="B2321" t="s">
        <v>7</v>
      </c>
      <c r="C2321">
        <v>4</v>
      </c>
      <c r="D2321">
        <v>33.1</v>
      </c>
      <c r="E2321">
        <v>132.4</v>
      </c>
      <c r="F2321" s="1">
        <v>45743</v>
      </c>
      <c r="G2321" s="1">
        <v>45743</v>
      </c>
      <c r="H2321" t="s">
        <v>8</v>
      </c>
      <c r="I2321" t="s">
        <v>25</v>
      </c>
      <c r="J2321">
        <v>2</v>
      </c>
      <c r="K2321" t="s">
        <v>4</v>
      </c>
      <c r="L2321" t="s">
        <v>37</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2408</v>
      </c>
      <c r="B2322" t="s">
        <v>131</v>
      </c>
      <c r="C2322">
        <v>1</v>
      </c>
      <c r="D2322">
        <v>51.4</v>
      </c>
      <c r="E2322">
        <v>51.4</v>
      </c>
      <c r="F2322" s="1">
        <v>45743</v>
      </c>
      <c r="G2322" s="1">
        <v>45745</v>
      </c>
      <c r="H2322" t="s">
        <v>12</v>
      </c>
      <c r="I2322" t="s">
        <v>20</v>
      </c>
      <c r="J2322">
        <v>3</v>
      </c>
      <c r="K2322" t="s">
        <v>4</v>
      </c>
      <c r="L2322" t="s">
        <v>37</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2409</v>
      </c>
      <c r="B2323" t="s">
        <v>29</v>
      </c>
      <c r="C2323">
        <v>2</v>
      </c>
      <c r="D2323">
        <v>30.2</v>
      </c>
      <c r="E2323">
        <v>60.4</v>
      </c>
      <c r="F2323" s="1">
        <v>45743</v>
      </c>
      <c r="G2323" s="1">
        <v>45744</v>
      </c>
      <c r="H2323" t="s">
        <v>12</v>
      </c>
      <c r="I2323" t="s">
        <v>25</v>
      </c>
      <c r="J2323">
        <v>5</v>
      </c>
      <c r="K2323" t="s">
        <v>4</v>
      </c>
      <c r="L2323" t="s">
        <v>40</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2410</v>
      </c>
      <c r="B2324" t="s">
        <v>11</v>
      </c>
      <c r="C2324">
        <v>6</v>
      </c>
      <c r="D2324">
        <v>97</v>
      </c>
      <c r="E2324">
        <v>582</v>
      </c>
      <c r="F2324" s="1">
        <v>45743</v>
      </c>
      <c r="G2324" s="1">
        <v>45747</v>
      </c>
      <c r="H2324" t="s">
        <v>12</v>
      </c>
      <c r="I2324" t="s">
        <v>3</v>
      </c>
      <c r="J2324">
        <v>5</v>
      </c>
      <c r="K2324" t="s">
        <v>4</v>
      </c>
      <c r="L2324" t="s">
        <v>44</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2411</v>
      </c>
      <c r="B2325" t="s">
        <v>11</v>
      </c>
      <c r="C2325">
        <v>1</v>
      </c>
      <c r="D2325">
        <v>76.900000000000006</v>
      </c>
      <c r="E2325">
        <v>76.900000000000006</v>
      </c>
      <c r="F2325" s="1">
        <v>45743</v>
      </c>
      <c r="G2325" s="1">
        <v>45744</v>
      </c>
      <c r="H2325" t="s">
        <v>8</v>
      </c>
      <c r="I2325" t="s">
        <v>20</v>
      </c>
      <c r="J2325">
        <v>5</v>
      </c>
      <c r="K2325" t="s">
        <v>4</v>
      </c>
      <c r="L2325" t="s">
        <v>47</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2412</v>
      </c>
      <c r="B2326" t="s">
        <v>27</v>
      </c>
      <c r="C2326">
        <v>6</v>
      </c>
      <c r="D2326">
        <v>36.1</v>
      </c>
      <c r="E2326">
        <v>216.60000000000002</v>
      </c>
      <c r="F2326" s="1">
        <v>45743</v>
      </c>
      <c r="G2326" s="1">
        <v>45747</v>
      </c>
      <c r="H2326" t="s">
        <v>12</v>
      </c>
      <c r="I2326" t="s">
        <v>3</v>
      </c>
      <c r="J2326">
        <v>4</v>
      </c>
      <c r="K2326" t="s">
        <v>4</v>
      </c>
      <c r="L2326" t="s">
        <v>47</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2413</v>
      </c>
      <c r="B2327" t="s">
        <v>7</v>
      </c>
      <c r="C2327">
        <v>7</v>
      </c>
      <c r="D2327">
        <v>34.4</v>
      </c>
      <c r="E2327">
        <v>240.79999999999998</v>
      </c>
      <c r="F2327" s="1">
        <v>45743</v>
      </c>
      <c r="G2327" s="1">
        <v>45743</v>
      </c>
      <c r="H2327" t="s">
        <v>12</v>
      </c>
      <c r="I2327" t="s">
        <v>25</v>
      </c>
      <c r="J2327">
        <v>3</v>
      </c>
      <c r="K2327" t="s">
        <v>4</v>
      </c>
      <c r="L2327" t="s">
        <v>62</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2414</v>
      </c>
      <c r="B2328" t="s">
        <v>7</v>
      </c>
      <c r="C2328">
        <v>28</v>
      </c>
      <c r="D2328">
        <v>53.4</v>
      </c>
      <c r="E2328">
        <v>1495.2</v>
      </c>
      <c r="F2328" s="1">
        <v>45743</v>
      </c>
      <c r="G2328" s="1">
        <v>45745</v>
      </c>
      <c r="H2328" t="s">
        <v>12</v>
      </c>
      <c r="I2328" t="s">
        <v>20</v>
      </c>
      <c r="J2328">
        <v>4</v>
      </c>
      <c r="K2328" t="s">
        <v>4</v>
      </c>
      <c r="L2328" t="s">
        <v>93</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2415</v>
      </c>
      <c r="B2329" t="s">
        <v>11</v>
      </c>
      <c r="C2329">
        <v>1</v>
      </c>
      <c r="D2329">
        <v>77.599999999999994</v>
      </c>
      <c r="E2329">
        <v>77.599999999999994</v>
      </c>
      <c r="F2329" s="1">
        <v>45743</v>
      </c>
      <c r="G2329" s="1">
        <v>45744</v>
      </c>
      <c r="H2329" t="s">
        <v>12</v>
      </c>
      <c r="I2329" t="s">
        <v>3</v>
      </c>
      <c r="J2329">
        <v>3</v>
      </c>
      <c r="K2329" t="s">
        <v>4</v>
      </c>
      <c r="L2329" t="s">
        <v>95</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2416</v>
      </c>
      <c r="B2330" t="s">
        <v>7</v>
      </c>
      <c r="C2330">
        <v>3</v>
      </c>
      <c r="D2330">
        <v>71.7</v>
      </c>
      <c r="E2330">
        <v>215.10000000000002</v>
      </c>
      <c r="F2330" s="1">
        <v>45743</v>
      </c>
      <c r="G2330" s="1">
        <v>45746</v>
      </c>
      <c r="H2330" t="s">
        <v>12</v>
      </c>
      <c r="I2330" t="s">
        <v>20</v>
      </c>
      <c r="J2330">
        <v>4</v>
      </c>
      <c r="K2330" t="s">
        <v>4</v>
      </c>
      <c r="L2330" t="s">
        <v>95</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2417</v>
      </c>
      <c r="B2331" t="s">
        <v>15</v>
      </c>
      <c r="C2331">
        <v>3</v>
      </c>
      <c r="D2331">
        <v>80.599999999999994</v>
      </c>
      <c r="E2331">
        <v>241.79999999999998</v>
      </c>
      <c r="F2331" s="1">
        <v>45743</v>
      </c>
      <c r="G2331" s="1">
        <v>45744</v>
      </c>
      <c r="H2331" t="s">
        <v>8</v>
      </c>
      <c r="I2331" t="s">
        <v>55</v>
      </c>
      <c r="J2331">
        <v>3</v>
      </c>
      <c r="K2331" t="s">
        <v>4</v>
      </c>
      <c r="L2331" t="s">
        <v>95</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2418</v>
      </c>
      <c r="B2332" t="s">
        <v>7</v>
      </c>
      <c r="C2332">
        <v>15</v>
      </c>
      <c r="D2332">
        <v>70</v>
      </c>
      <c r="E2332">
        <v>1050</v>
      </c>
      <c r="F2332" s="1">
        <v>45743</v>
      </c>
      <c r="G2332" s="1">
        <v>45745</v>
      </c>
      <c r="H2332" t="s">
        <v>8</v>
      </c>
      <c r="I2332" t="s">
        <v>3</v>
      </c>
      <c r="J2332">
        <v>4</v>
      </c>
      <c r="K2332" t="s">
        <v>4</v>
      </c>
      <c r="L2332" t="s">
        <v>98</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2419</v>
      </c>
      <c r="B2333" t="s">
        <v>17</v>
      </c>
      <c r="C2333">
        <v>6</v>
      </c>
      <c r="D2333">
        <v>27.3</v>
      </c>
      <c r="E2333">
        <v>163.80000000000001</v>
      </c>
      <c r="F2333" s="1">
        <v>45743</v>
      </c>
      <c r="G2333" s="1">
        <v>45745</v>
      </c>
      <c r="H2333" t="s">
        <v>12</v>
      </c>
      <c r="I2333" t="s">
        <v>20</v>
      </c>
      <c r="J2333">
        <v>3</v>
      </c>
      <c r="K2333" t="s">
        <v>4</v>
      </c>
      <c r="L2333" t="s">
        <v>13</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2420</v>
      </c>
      <c r="B2334" t="s">
        <v>29</v>
      </c>
      <c r="C2334">
        <v>14</v>
      </c>
      <c r="D2334">
        <v>37.6</v>
      </c>
      <c r="E2334">
        <v>526.4</v>
      </c>
      <c r="F2334" s="1">
        <v>45743</v>
      </c>
      <c r="G2334" s="1">
        <v>45745</v>
      </c>
      <c r="H2334" t="s">
        <v>8</v>
      </c>
      <c r="I2334" t="s">
        <v>20</v>
      </c>
      <c r="J2334">
        <v>4</v>
      </c>
      <c r="K2334" t="s">
        <v>4</v>
      </c>
      <c r="L2334" t="s">
        <v>18</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2421</v>
      </c>
      <c r="B2335" t="s">
        <v>22</v>
      </c>
      <c r="C2335">
        <v>3</v>
      </c>
      <c r="D2335">
        <v>36.6</v>
      </c>
      <c r="E2335">
        <v>109.80000000000001</v>
      </c>
      <c r="F2335" s="1">
        <v>45743</v>
      </c>
      <c r="G2335" s="1">
        <v>45745</v>
      </c>
      <c r="H2335" t="s">
        <v>12</v>
      </c>
      <c r="I2335" t="s">
        <v>55</v>
      </c>
      <c r="J2335">
        <v>4</v>
      </c>
      <c r="K2335" t="s">
        <v>4</v>
      </c>
      <c r="L2335" t="s">
        <v>18</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2422</v>
      </c>
      <c r="B2336" t="s">
        <v>61</v>
      </c>
      <c r="C2336">
        <v>1</v>
      </c>
      <c r="D2336">
        <v>55.2</v>
      </c>
      <c r="E2336">
        <v>55.2</v>
      </c>
      <c r="F2336" s="1">
        <v>45743</v>
      </c>
      <c r="G2336" s="1">
        <v>45745</v>
      </c>
      <c r="H2336" t="s">
        <v>8</v>
      </c>
      <c r="I2336" t="s">
        <v>36</v>
      </c>
      <c r="J2336">
        <v>4</v>
      </c>
      <c r="K2336" t="s">
        <v>4</v>
      </c>
      <c r="L2336" t="s">
        <v>18</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2423</v>
      </c>
      <c r="B2337" t="s">
        <v>24</v>
      </c>
      <c r="C2337">
        <v>5</v>
      </c>
      <c r="D2337">
        <v>59.9</v>
      </c>
      <c r="E2337">
        <v>299.5</v>
      </c>
      <c r="F2337" s="1">
        <v>45743</v>
      </c>
      <c r="G2337" s="1">
        <v>45745</v>
      </c>
      <c r="H2337" t="s">
        <v>8</v>
      </c>
      <c r="I2337" t="s">
        <v>3</v>
      </c>
      <c r="J2337">
        <v>4</v>
      </c>
      <c r="K2337" t="s">
        <v>4</v>
      </c>
      <c r="L2337" t="s">
        <v>18</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2424</v>
      </c>
      <c r="B2338" t="s">
        <v>24</v>
      </c>
      <c r="C2338">
        <v>1</v>
      </c>
      <c r="D2338">
        <v>44</v>
      </c>
      <c r="E2338">
        <v>44</v>
      </c>
      <c r="F2338" s="1">
        <v>45743</v>
      </c>
      <c r="G2338" s="1">
        <v>45744</v>
      </c>
      <c r="H2338" t="s">
        <v>12</v>
      </c>
      <c r="I2338" t="s">
        <v>25</v>
      </c>
      <c r="J2338">
        <v>5</v>
      </c>
      <c r="K2338" t="s">
        <v>4</v>
      </c>
      <c r="L2338" t="s">
        <v>18</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2425</v>
      </c>
      <c r="B2339" t="s">
        <v>31</v>
      </c>
      <c r="C2339">
        <v>2</v>
      </c>
      <c r="D2339">
        <v>68.7</v>
      </c>
      <c r="E2339">
        <v>137.4</v>
      </c>
      <c r="F2339" s="1">
        <v>45743</v>
      </c>
      <c r="G2339" s="1">
        <v>45743</v>
      </c>
      <c r="H2339" t="s">
        <v>8</v>
      </c>
      <c r="I2339" t="s">
        <v>3</v>
      </c>
      <c r="J2339">
        <v>4</v>
      </c>
      <c r="K2339" t="s">
        <v>4</v>
      </c>
      <c r="L2339" t="s">
        <v>18</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2426</v>
      </c>
      <c r="B2340" t="s">
        <v>22</v>
      </c>
      <c r="C2340">
        <v>2</v>
      </c>
      <c r="D2340">
        <v>61.6</v>
      </c>
      <c r="E2340">
        <v>123.2</v>
      </c>
      <c r="F2340" s="1">
        <v>45743</v>
      </c>
      <c r="G2340" s="1">
        <v>45747</v>
      </c>
      <c r="H2340" t="s">
        <v>8</v>
      </c>
      <c r="I2340" t="s">
        <v>36</v>
      </c>
      <c r="J2340">
        <v>3</v>
      </c>
      <c r="K2340" t="s">
        <v>4</v>
      </c>
      <c r="L2340" t="s">
        <v>18</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2427</v>
      </c>
      <c r="B2341" t="s">
        <v>27</v>
      </c>
      <c r="C2341">
        <v>7</v>
      </c>
      <c r="D2341">
        <v>51.8</v>
      </c>
      <c r="E2341">
        <v>362.59999999999997</v>
      </c>
      <c r="F2341" s="1">
        <v>45743</v>
      </c>
      <c r="G2341" s="1">
        <v>45744</v>
      </c>
      <c r="H2341" t="s">
        <v>8</v>
      </c>
      <c r="I2341" t="s">
        <v>3</v>
      </c>
      <c r="J2341">
        <v>4</v>
      </c>
      <c r="K2341" t="s">
        <v>4</v>
      </c>
      <c r="L2341" t="s">
        <v>18</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2428</v>
      </c>
      <c r="B2342" t="s">
        <v>29</v>
      </c>
      <c r="C2342">
        <v>10</v>
      </c>
      <c r="D2342">
        <v>46.2</v>
      </c>
      <c r="E2342">
        <v>462</v>
      </c>
      <c r="F2342" s="1">
        <v>45743</v>
      </c>
      <c r="G2342" s="1">
        <v>45745</v>
      </c>
      <c r="H2342" t="s">
        <v>8</v>
      </c>
      <c r="I2342" t="s">
        <v>20</v>
      </c>
      <c r="J2342">
        <v>5</v>
      </c>
      <c r="K2342" t="s">
        <v>4</v>
      </c>
      <c r="L2342" t="s">
        <v>18</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2429</v>
      </c>
      <c r="B2343" t="s">
        <v>1</v>
      </c>
      <c r="C2343">
        <v>2</v>
      </c>
      <c r="D2343">
        <v>19.399999999999999</v>
      </c>
      <c r="E2343">
        <v>38.799999999999997</v>
      </c>
      <c r="F2343" s="1">
        <v>45743</v>
      </c>
      <c r="G2343" s="1">
        <v>45745</v>
      </c>
      <c r="H2343" t="s">
        <v>12</v>
      </c>
      <c r="I2343" t="s">
        <v>20</v>
      </c>
      <c r="J2343">
        <v>5</v>
      </c>
      <c r="K2343" t="s">
        <v>4</v>
      </c>
      <c r="L2343" t="s">
        <v>40</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2430</v>
      </c>
      <c r="B2344" t="s">
        <v>52</v>
      </c>
      <c r="C2344">
        <v>3</v>
      </c>
      <c r="D2344">
        <v>52.1</v>
      </c>
      <c r="E2344">
        <v>156.30000000000001</v>
      </c>
      <c r="F2344" s="1">
        <v>45743</v>
      </c>
      <c r="G2344" s="1">
        <v>45746</v>
      </c>
      <c r="H2344" t="s">
        <v>8</v>
      </c>
      <c r="I2344" t="s">
        <v>36</v>
      </c>
      <c r="J2344">
        <v>1</v>
      </c>
      <c r="K2344" t="s">
        <v>4</v>
      </c>
      <c r="L2344" t="s">
        <v>40</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2431</v>
      </c>
      <c r="B2345" t="s">
        <v>24</v>
      </c>
      <c r="C2345">
        <v>1</v>
      </c>
      <c r="D2345">
        <v>74.900000000000006</v>
      </c>
      <c r="E2345">
        <v>74.900000000000006</v>
      </c>
      <c r="F2345" s="1">
        <v>45743</v>
      </c>
      <c r="G2345" s="1">
        <v>45745</v>
      </c>
      <c r="H2345" t="s">
        <v>74</v>
      </c>
      <c r="I2345" t="s">
        <v>3</v>
      </c>
      <c r="J2345">
        <v>4</v>
      </c>
      <c r="K2345" t="s">
        <v>4</v>
      </c>
      <c r="L2345" t="s">
        <v>44</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2432</v>
      </c>
      <c r="B2346" t="s">
        <v>31</v>
      </c>
      <c r="C2346">
        <v>7</v>
      </c>
      <c r="D2346">
        <v>49.6</v>
      </c>
      <c r="E2346">
        <v>347.2</v>
      </c>
      <c r="F2346" s="1">
        <v>45743</v>
      </c>
      <c r="G2346" s="1">
        <v>45746</v>
      </c>
      <c r="H2346" t="s">
        <v>12</v>
      </c>
      <c r="I2346" t="s">
        <v>55</v>
      </c>
      <c r="J2346">
        <v>4</v>
      </c>
      <c r="K2346" t="s">
        <v>4</v>
      </c>
      <c r="L2346" t="s">
        <v>47</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2433</v>
      </c>
      <c r="B2347" t="s">
        <v>113</v>
      </c>
      <c r="C2347">
        <v>4</v>
      </c>
      <c r="D2347">
        <v>82.8</v>
      </c>
      <c r="E2347">
        <v>331.2</v>
      </c>
      <c r="F2347" s="1">
        <v>45744</v>
      </c>
      <c r="G2347" s="1">
        <v>45747</v>
      </c>
      <c r="H2347" t="s">
        <v>12</v>
      </c>
      <c r="I2347" t="s">
        <v>55</v>
      </c>
      <c r="J2347">
        <v>4</v>
      </c>
      <c r="K2347" t="s">
        <v>4</v>
      </c>
      <c r="L2347" t="s">
        <v>47</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2434</v>
      </c>
      <c r="B2348" t="s">
        <v>11</v>
      </c>
      <c r="C2348">
        <v>1</v>
      </c>
      <c r="D2348">
        <v>97.7</v>
      </c>
      <c r="E2348">
        <v>97.7</v>
      </c>
      <c r="F2348" s="1">
        <v>45744</v>
      </c>
      <c r="G2348" s="1">
        <v>45745</v>
      </c>
      <c r="H2348" t="s">
        <v>12</v>
      </c>
      <c r="I2348" t="s">
        <v>20</v>
      </c>
      <c r="J2348">
        <v>4</v>
      </c>
      <c r="K2348" t="s">
        <v>4</v>
      </c>
      <c r="L2348" t="s">
        <v>47</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2435</v>
      </c>
      <c r="B2349" t="s">
        <v>24</v>
      </c>
      <c r="C2349">
        <v>5</v>
      </c>
      <c r="D2349">
        <v>83.6</v>
      </c>
      <c r="E2349">
        <v>418</v>
      </c>
      <c r="F2349" s="1">
        <v>45744</v>
      </c>
      <c r="G2349" s="1">
        <v>45745</v>
      </c>
      <c r="H2349" t="s">
        <v>12</v>
      </c>
      <c r="I2349" t="s">
        <v>55</v>
      </c>
      <c r="J2349">
        <v>4</v>
      </c>
      <c r="K2349" t="s">
        <v>4</v>
      </c>
      <c r="L2349" t="s">
        <v>47</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2436</v>
      </c>
      <c r="B2350" t="s">
        <v>29</v>
      </c>
      <c r="C2350">
        <v>5</v>
      </c>
      <c r="D2350">
        <v>23.5</v>
      </c>
      <c r="E2350">
        <v>117.5</v>
      </c>
      <c r="F2350" s="1">
        <v>45744</v>
      </c>
      <c r="G2350" s="1">
        <v>45748</v>
      </c>
      <c r="H2350" t="s">
        <v>74</v>
      </c>
      <c r="I2350" t="s">
        <v>3</v>
      </c>
      <c r="J2350">
        <v>4</v>
      </c>
      <c r="K2350" t="s">
        <v>4</v>
      </c>
      <c r="L2350" t="s">
        <v>47</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2437</v>
      </c>
      <c r="B2351" t="s">
        <v>31</v>
      </c>
      <c r="C2351">
        <v>3</v>
      </c>
      <c r="D2351">
        <v>44.6</v>
      </c>
      <c r="E2351">
        <v>133.80000000000001</v>
      </c>
      <c r="F2351" s="1">
        <v>45744</v>
      </c>
      <c r="G2351" s="1">
        <v>45747</v>
      </c>
      <c r="H2351" t="s">
        <v>12</v>
      </c>
      <c r="I2351" t="s">
        <v>55</v>
      </c>
      <c r="J2351">
        <v>3</v>
      </c>
      <c r="K2351" t="s">
        <v>4</v>
      </c>
      <c r="L2351" t="s">
        <v>186</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2438</v>
      </c>
      <c r="B2352" t="s">
        <v>1</v>
      </c>
      <c r="C2352">
        <v>3</v>
      </c>
      <c r="D2352">
        <v>20.100000000000001</v>
      </c>
      <c r="E2352">
        <v>60.300000000000004</v>
      </c>
      <c r="F2352" s="1">
        <v>45744</v>
      </c>
      <c r="G2352" s="1">
        <v>45746</v>
      </c>
      <c r="H2352" t="s">
        <v>12</v>
      </c>
      <c r="I2352" t="s">
        <v>36</v>
      </c>
      <c r="J2352">
        <v>2</v>
      </c>
      <c r="K2352" t="s">
        <v>4</v>
      </c>
      <c r="L2352" t="s">
        <v>62</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2439</v>
      </c>
      <c r="B2353" t="s">
        <v>11</v>
      </c>
      <c r="C2353">
        <v>5</v>
      </c>
      <c r="D2353">
        <v>153.6</v>
      </c>
      <c r="E2353">
        <v>768</v>
      </c>
      <c r="F2353" s="1">
        <v>45744</v>
      </c>
      <c r="G2353" s="1">
        <v>45745</v>
      </c>
      <c r="H2353" t="s">
        <v>12</v>
      </c>
      <c r="I2353" t="s">
        <v>20</v>
      </c>
      <c r="J2353">
        <v>5</v>
      </c>
      <c r="K2353" t="s">
        <v>4</v>
      </c>
      <c r="L2353" t="s">
        <v>1101</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2440</v>
      </c>
      <c r="B2354" t="s">
        <v>7</v>
      </c>
      <c r="C2354">
        <v>2</v>
      </c>
      <c r="D2354">
        <v>71.8</v>
      </c>
      <c r="E2354">
        <v>143.6</v>
      </c>
      <c r="F2354" s="1">
        <v>45744</v>
      </c>
      <c r="G2354" s="1">
        <v>45748</v>
      </c>
      <c r="H2354" t="s">
        <v>12</v>
      </c>
      <c r="I2354" t="s">
        <v>20</v>
      </c>
      <c r="J2354">
        <v>4</v>
      </c>
      <c r="K2354" t="s">
        <v>4</v>
      </c>
      <c r="L2354" t="s">
        <v>9</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2441</v>
      </c>
      <c r="B2355" t="s">
        <v>39</v>
      </c>
      <c r="C2355">
        <v>1</v>
      </c>
      <c r="D2355">
        <v>64.7</v>
      </c>
      <c r="E2355">
        <v>64.7</v>
      </c>
      <c r="F2355" s="1">
        <v>45744</v>
      </c>
      <c r="G2355" s="1">
        <v>45746</v>
      </c>
      <c r="H2355" t="s">
        <v>2</v>
      </c>
      <c r="I2355" t="s">
        <v>3</v>
      </c>
      <c r="J2355">
        <v>3</v>
      </c>
      <c r="K2355" t="s">
        <v>4</v>
      </c>
      <c r="L2355" t="s">
        <v>9</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2442</v>
      </c>
      <c r="B2356" t="s">
        <v>31</v>
      </c>
      <c r="C2356">
        <v>8</v>
      </c>
      <c r="D2356">
        <v>60.4</v>
      </c>
      <c r="E2356">
        <v>483.2</v>
      </c>
      <c r="F2356" s="1">
        <v>45744</v>
      </c>
      <c r="G2356" s="1">
        <v>45746</v>
      </c>
      <c r="H2356" t="s">
        <v>12</v>
      </c>
      <c r="I2356" t="s">
        <v>36</v>
      </c>
      <c r="J2356">
        <v>5</v>
      </c>
      <c r="K2356" t="s">
        <v>4</v>
      </c>
      <c r="L2356" t="s">
        <v>13</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2443</v>
      </c>
      <c r="B2357" t="s">
        <v>24</v>
      </c>
      <c r="C2357">
        <v>4</v>
      </c>
      <c r="D2357">
        <v>86</v>
      </c>
      <c r="E2357">
        <v>344</v>
      </c>
      <c r="F2357" s="1">
        <v>45744</v>
      </c>
      <c r="G2357" s="1">
        <v>45747</v>
      </c>
      <c r="H2357" t="s">
        <v>12</v>
      </c>
      <c r="I2357" t="s">
        <v>25</v>
      </c>
      <c r="J2357">
        <v>5</v>
      </c>
      <c r="K2357" t="s">
        <v>4</v>
      </c>
      <c r="L2357" t="s">
        <v>132</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2444</v>
      </c>
      <c r="B2358" t="s">
        <v>54</v>
      </c>
      <c r="C2358">
        <v>2</v>
      </c>
      <c r="D2358">
        <v>42.1</v>
      </c>
      <c r="E2358">
        <v>84.2</v>
      </c>
      <c r="F2358" s="1">
        <v>45744</v>
      </c>
      <c r="G2358" s="1">
        <v>45745</v>
      </c>
      <c r="H2358" t="s">
        <v>12</v>
      </c>
      <c r="I2358" t="s">
        <v>55</v>
      </c>
      <c r="J2358">
        <v>3</v>
      </c>
      <c r="K2358" t="s">
        <v>4</v>
      </c>
      <c r="L2358" t="s">
        <v>319</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2445</v>
      </c>
      <c r="B2359" t="s">
        <v>113</v>
      </c>
      <c r="C2359">
        <v>9</v>
      </c>
      <c r="D2359">
        <v>51.1</v>
      </c>
      <c r="E2359">
        <v>459.90000000000003</v>
      </c>
      <c r="F2359" s="1">
        <v>45744</v>
      </c>
      <c r="G2359" s="1">
        <v>45745</v>
      </c>
      <c r="H2359" t="s">
        <v>8</v>
      </c>
      <c r="I2359" t="s">
        <v>25</v>
      </c>
      <c r="J2359">
        <v>3</v>
      </c>
      <c r="K2359" t="s">
        <v>4</v>
      </c>
      <c r="L2359" t="s">
        <v>18</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2446</v>
      </c>
      <c r="B2360" t="s">
        <v>31</v>
      </c>
      <c r="C2360">
        <v>4</v>
      </c>
      <c r="D2360">
        <v>73.8</v>
      </c>
      <c r="E2360">
        <v>295.2</v>
      </c>
      <c r="F2360" s="1">
        <v>45744</v>
      </c>
      <c r="G2360" s="1">
        <v>45745</v>
      </c>
      <c r="H2360" t="s">
        <v>8</v>
      </c>
      <c r="I2360" t="s">
        <v>55</v>
      </c>
      <c r="J2360">
        <v>4</v>
      </c>
      <c r="K2360" t="s">
        <v>4</v>
      </c>
      <c r="L2360" t="s">
        <v>18</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2447</v>
      </c>
      <c r="B2361" t="s">
        <v>29</v>
      </c>
      <c r="C2361">
        <v>5</v>
      </c>
      <c r="D2361">
        <v>27</v>
      </c>
      <c r="E2361">
        <v>135</v>
      </c>
      <c r="F2361" s="1">
        <v>45744</v>
      </c>
      <c r="G2361" s="1">
        <v>45747</v>
      </c>
      <c r="H2361" t="s">
        <v>12</v>
      </c>
      <c r="I2361" t="s">
        <v>25</v>
      </c>
      <c r="J2361">
        <v>5</v>
      </c>
      <c r="K2361" t="s">
        <v>4</v>
      </c>
      <c r="L2361" t="s">
        <v>18</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2448</v>
      </c>
      <c r="B2362" t="s">
        <v>29</v>
      </c>
      <c r="C2362">
        <v>6</v>
      </c>
      <c r="D2362">
        <v>60.1</v>
      </c>
      <c r="E2362">
        <v>360.6</v>
      </c>
      <c r="F2362" s="1">
        <v>45744</v>
      </c>
      <c r="G2362" s="1">
        <v>45745</v>
      </c>
      <c r="H2362" t="s">
        <v>8</v>
      </c>
      <c r="I2362" t="s">
        <v>36</v>
      </c>
      <c r="J2362">
        <v>4</v>
      </c>
      <c r="K2362" t="s">
        <v>4</v>
      </c>
      <c r="L2362" t="s">
        <v>18</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2449</v>
      </c>
      <c r="B2363" t="s">
        <v>11</v>
      </c>
      <c r="C2363">
        <v>7</v>
      </c>
      <c r="D2363">
        <v>94.1</v>
      </c>
      <c r="E2363">
        <v>658.69999999999993</v>
      </c>
      <c r="F2363" s="1">
        <v>45744</v>
      </c>
      <c r="G2363" s="1">
        <v>45746</v>
      </c>
      <c r="H2363" t="s">
        <v>12</v>
      </c>
      <c r="I2363" t="s">
        <v>55</v>
      </c>
      <c r="J2363">
        <v>3</v>
      </c>
      <c r="K2363" t="s">
        <v>4</v>
      </c>
      <c r="L2363" t="s">
        <v>18</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2450</v>
      </c>
      <c r="B2364" t="s">
        <v>11</v>
      </c>
      <c r="C2364">
        <v>2</v>
      </c>
      <c r="D2364">
        <v>124.1</v>
      </c>
      <c r="E2364">
        <v>248.2</v>
      </c>
      <c r="F2364" s="1">
        <v>45744</v>
      </c>
      <c r="G2364" s="1">
        <v>45744</v>
      </c>
      <c r="H2364" t="s">
        <v>12</v>
      </c>
      <c r="I2364" t="s">
        <v>25</v>
      </c>
      <c r="J2364">
        <v>1</v>
      </c>
      <c r="K2364" t="s">
        <v>4</v>
      </c>
      <c r="L2364" t="s">
        <v>530</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2451</v>
      </c>
      <c r="B2365" t="s">
        <v>29</v>
      </c>
      <c r="C2365">
        <v>4</v>
      </c>
      <c r="D2365">
        <v>16.899999999999999</v>
      </c>
      <c r="E2365">
        <v>67.599999999999994</v>
      </c>
      <c r="F2365" s="1">
        <v>45744</v>
      </c>
      <c r="G2365" s="1">
        <v>45747</v>
      </c>
      <c r="H2365" t="s">
        <v>8</v>
      </c>
      <c r="I2365" t="s">
        <v>36</v>
      </c>
      <c r="J2365">
        <v>4</v>
      </c>
      <c r="K2365" t="s">
        <v>4</v>
      </c>
      <c r="L2365" t="s">
        <v>40</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2452</v>
      </c>
      <c r="B2366" t="s">
        <v>7</v>
      </c>
      <c r="C2366">
        <v>1</v>
      </c>
      <c r="D2366">
        <v>36.9</v>
      </c>
      <c r="E2366">
        <v>36.9</v>
      </c>
      <c r="F2366" s="1">
        <v>45744</v>
      </c>
      <c r="G2366" s="1">
        <v>45745</v>
      </c>
      <c r="H2366" t="s">
        <v>8</v>
      </c>
      <c r="I2366" t="s">
        <v>3</v>
      </c>
      <c r="J2366">
        <v>4</v>
      </c>
      <c r="K2366" t="s">
        <v>4</v>
      </c>
      <c r="L2366" t="s">
        <v>40</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2453</v>
      </c>
      <c r="B2367" t="s">
        <v>31</v>
      </c>
      <c r="C2367">
        <v>2</v>
      </c>
      <c r="D2367">
        <v>22.6</v>
      </c>
      <c r="E2367">
        <v>45.2</v>
      </c>
      <c r="F2367" s="1">
        <v>45744</v>
      </c>
      <c r="G2367" s="1">
        <v>45757</v>
      </c>
      <c r="H2367" t="s">
        <v>12</v>
      </c>
      <c r="I2367" t="s">
        <v>25</v>
      </c>
      <c r="J2367">
        <v>3</v>
      </c>
      <c r="K2367" t="s">
        <v>4</v>
      </c>
      <c r="L2367" t="s">
        <v>47</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2454</v>
      </c>
      <c r="B2368" t="s">
        <v>27</v>
      </c>
      <c r="C2368">
        <v>4</v>
      </c>
      <c r="D2368">
        <v>35</v>
      </c>
      <c r="E2368">
        <v>140</v>
      </c>
      <c r="F2368" s="1">
        <v>45744</v>
      </c>
      <c r="G2368" s="1">
        <v>45749</v>
      </c>
      <c r="H2368" t="s">
        <v>8</v>
      </c>
      <c r="I2368" t="s">
        <v>36</v>
      </c>
      <c r="J2368">
        <v>3</v>
      </c>
      <c r="K2368" t="s">
        <v>4</v>
      </c>
      <c r="L2368" t="s">
        <v>47</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2455</v>
      </c>
      <c r="B2369" t="s">
        <v>31</v>
      </c>
      <c r="C2369">
        <v>6</v>
      </c>
      <c r="D2369">
        <v>63.6</v>
      </c>
      <c r="E2369">
        <v>381.6</v>
      </c>
      <c r="F2369" s="1">
        <v>45744</v>
      </c>
      <c r="G2369" s="1">
        <v>45751</v>
      </c>
      <c r="H2369" t="s">
        <v>2</v>
      </c>
      <c r="I2369" t="s">
        <v>20</v>
      </c>
      <c r="J2369">
        <v>5</v>
      </c>
      <c r="K2369" t="s">
        <v>4</v>
      </c>
      <c r="L2369" t="s">
        <v>47</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2456</v>
      </c>
      <c r="B2370" t="s">
        <v>108</v>
      </c>
      <c r="C2370">
        <v>4</v>
      </c>
      <c r="D2370">
        <v>78.599999999999994</v>
      </c>
      <c r="E2370">
        <v>314.39999999999998</v>
      </c>
      <c r="F2370" s="1">
        <v>45744</v>
      </c>
      <c r="G2370" s="1">
        <v>45745</v>
      </c>
      <c r="H2370" t="s">
        <v>8</v>
      </c>
      <c r="I2370" t="s">
        <v>55</v>
      </c>
      <c r="J2370">
        <v>3</v>
      </c>
      <c r="K2370" t="s">
        <v>4</v>
      </c>
      <c r="L2370" t="s">
        <v>47</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2457</v>
      </c>
      <c r="B2371" t="s">
        <v>15</v>
      </c>
      <c r="C2371">
        <v>2</v>
      </c>
      <c r="D2371">
        <v>38.5</v>
      </c>
      <c r="E2371">
        <v>77</v>
      </c>
      <c r="F2371" s="1">
        <v>45744</v>
      </c>
      <c r="G2371" s="1">
        <v>45745</v>
      </c>
      <c r="H2371" t="s">
        <v>8</v>
      </c>
      <c r="I2371" t="s">
        <v>3</v>
      </c>
      <c r="J2371">
        <v>5</v>
      </c>
      <c r="K2371" t="s">
        <v>4</v>
      </c>
      <c r="L2371" t="s">
        <v>47</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2458</v>
      </c>
      <c r="B2372" t="s">
        <v>29</v>
      </c>
      <c r="C2372">
        <v>11</v>
      </c>
      <c r="D2372">
        <v>71.5</v>
      </c>
      <c r="E2372">
        <v>786.5</v>
      </c>
      <c r="F2372" s="1">
        <v>45744</v>
      </c>
      <c r="G2372" s="1">
        <v>45745</v>
      </c>
      <c r="H2372" t="s">
        <v>12</v>
      </c>
      <c r="I2372" t="s">
        <v>20</v>
      </c>
      <c r="J2372">
        <v>2</v>
      </c>
      <c r="K2372" t="s">
        <v>4</v>
      </c>
      <c r="L2372" t="s">
        <v>47</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2459</v>
      </c>
      <c r="B2373" t="s">
        <v>24</v>
      </c>
      <c r="C2373">
        <v>4</v>
      </c>
      <c r="D2373">
        <v>121.4</v>
      </c>
      <c r="E2373">
        <v>485.6</v>
      </c>
      <c r="F2373" s="1">
        <v>45744</v>
      </c>
      <c r="G2373" s="1">
        <v>45748</v>
      </c>
      <c r="H2373" t="s">
        <v>8</v>
      </c>
      <c r="I2373" t="s">
        <v>20</v>
      </c>
      <c r="J2373">
        <v>5</v>
      </c>
      <c r="K2373" t="s">
        <v>4</v>
      </c>
      <c r="L2373" t="s">
        <v>88</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2460</v>
      </c>
      <c r="B2374" t="s">
        <v>52</v>
      </c>
      <c r="C2374">
        <v>1</v>
      </c>
      <c r="D2374">
        <v>40.200000000000003</v>
      </c>
      <c r="E2374">
        <v>40.200000000000003</v>
      </c>
      <c r="F2374" s="1">
        <v>45744</v>
      </c>
      <c r="G2374" s="1">
        <v>45747</v>
      </c>
      <c r="H2374" t="s">
        <v>12</v>
      </c>
      <c r="I2374" t="s">
        <v>3</v>
      </c>
      <c r="J2374">
        <v>5</v>
      </c>
      <c r="K2374" t="s">
        <v>4</v>
      </c>
      <c r="L2374" t="s">
        <v>62</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2461</v>
      </c>
      <c r="B2375" t="s">
        <v>22</v>
      </c>
      <c r="C2375">
        <v>5</v>
      </c>
      <c r="D2375">
        <v>31.9</v>
      </c>
      <c r="E2375">
        <v>159.5</v>
      </c>
      <c r="F2375" s="1">
        <v>45744</v>
      </c>
      <c r="G2375" s="1">
        <v>45746</v>
      </c>
      <c r="H2375" t="s">
        <v>12</v>
      </c>
      <c r="I2375" t="s">
        <v>25</v>
      </c>
      <c r="J2375">
        <v>5</v>
      </c>
      <c r="K2375" t="s">
        <v>4</v>
      </c>
      <c r="L2375" t="s">
        <v>228</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2462</v>
      </c>
      <c r="B2376" t="s">
        <v>66</v>
      </c>
      <c r="C2376">
        <v>5</v>
      </c>
      <c r="D2376">
        <v>15.8</v>
      </c>
      <c r="E2376">
        <v>79</v>
      </c>
      <c r="F2376" s="1">
        <v>45745</v>
      </c>
      <c r="G2376" s="1">
        <v>45746</v>
      </c>
      <c r="H2376" t="s">
        <v>8</v>
      </c>
      <c r="I2376" t="s">
        <v>36</v>
      </c>
      <c r="J2376">
        <v>5</v>
      </c>
      <c r="K2376" t="s">
        <v>4</v>
      </c>
      <c r="L2376" t="s">
        <v>100</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2463</v>
      </c>
      <c r="B2377" t="s">
        <v>39</v>
      </c>
      <c r="C2377">
        <v>2</v>
      </c>
      <c r="D2377">
        <v>25.1</v>
      </c>
      <c r="E2377">
        <v>50.2</v>
      </c>
      <c r="F2377" s="1">
        <v>45745</v>
      </c>
      <c r="G2377" s="1">
        <v>45747</v>
      </c>
      <c r="H2377" t="s">
        <v>2</v>
      </c>
      <c r="I2377" t="s">
        <v>20</v>
      </c>
      <c r="J2377">
        <v>4</v>
      </c>
      <c r="K2377" t="s">
        <v>4</v>
      </c>
      <c r="L2377" t="s">
        <v>100</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2464</v>
      </c>
      <c r="B2378" t="s">
        <v>7</v>
      </c>
      <c r="C2378">
        <v>23</v>
      </c>
      <c r="D2378">
        <v>38.1</v>
      </c>
      <c r="E2378">
        <v>876.30000000000007</v>
      </c>
      <c r="F2378" s="1">
        <v>45745</v>
      </c>
      <c r="G2378" s="1">
        <v>45746</v>
      </c>
      <c r="H2378" t="s">
        <v>12</v>
      </c>
      <c r="I2378" t="s">
        <v>55</v>
      </c>
      <c r="J2378">
        <v>4</v>
      </c>
      <c r="K2378" t="s">
        <v>4</v>
      </c>
      <c r="L2378" t="s">
        <v>9</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2465</v>
      </c>
      <c r="B2379" t="s">
        <v>15</v>
      </c>
      <c r="C2379">
        <v>2</v>
      </c>
      <c r="D2379">
        <v>42.2</v>
      </c>
      <c r="E2379">
        <v>84.4</v>
      </c>
      <c r="F2379" s="1">
        <v>45745</v>
      </c>
      <c r="G2379" s="1">
        <v>45747</v>
      </c>
      <c r="H2379" t="s">
        <v>12</v>
      </c>
      <c r="I2379" t="s">
        <v>3</v>
      </c>
      <c r="J2379">
        <v>5</v>
      </c>
      <c r="K2379" t="s">
        <v>4</v>
      </c>
      <c r="L2379" t="s">
        <v>9</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2466</v>
      </c>
      <c r="B2380" t="s">
        <v>1</v>
      </c>
      <c r="C2380">
        <v>10</v>
      </c>
      <c r="D2380">
        <v>12.3</v>
      </c>
      <c r="E2380">
        <v>123</v>
      </c>
      <c r="F2380" s="1">
        <v>45745</v>
      </c>
      <c r="G2380" s="1">
        <v>45746</v>
      </c>
      <c r="H2380" t="s">
        <v>12</v>
      </c>
      <c r="I2380" t="s">
        <v>55</v>
      </c>
      <c r="J2380">
        <v>4</v>
      </c>
      <c r="K2380" t="s">
        <v>4</v>
      </c>
      <c r="L2380" t="s">
        <v>13</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2467</v>
      </c>
      <c r="B2381" t="s">
        <v>27</v>
      </c>
      <c r="C2381">
        <v>1</v>
      </c>
      <c r="D2381">
        <v>30.2</v>
      </c>
      <c r="E2381">
        <v>30.2</v>
      </c>
      <c r="F2381" s="1">
        <v>45745</v>
      </c>
      <c r="G2381" s="1">
        <v>45747</v>
      </c>
      <c r="H2381" t="s">
        <v>12</v>
      </c>
      <c r="I2381" t="s">
        <v>20</v>
      </c>
      <c r="J2381">
        <v>5</v>
      </c>
      <c r="K2381" t="s">
        <v>4</v>
      </c>
      <c r="L2381" t="s">
        <v>319</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2468</v>
      </c>
      <c r="B2382" t="s">
        <v>22</v>
      </c>
      <c r="C2382">
        <v>3</v>
      </c>
      <c r="D2382">
        <v>25.3</v>
      </c>
      <c r="E2382">
        <v>75.900000000000006</v>
      </c>
      <c r="F2382" s="1">
        <v>45745</v>
      </c>
      <c r="G2382" s="1">
        <v>45748</v>
      </c>
      <c r="H2382" t="s">
        <v>12</v>
      </c>
      <c r="I2382" t="s">
        <v>25</v>
      </c>
      <c r="J2382">
        <v>4</v>
      </c>
      <c r="K2382" t="s">
        <v>4</v>
      </c>
      <c r="L2382" t="s">
        <v>18</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2469</v>
      </c>
      <c r="B2383" t="s">
        <v>29</v>
      </c>
      <c r="C2383">
        <v>5</v>
      </c>
      <c r="D2383">
        <v>29.7</v>
      </c>
      <c r="E2383">
        <v>148.5</v>
      </c>
      <c r="F2383" s="1">
        <v>45745</v>
      </c>
      <c r="G2383" s="1">
        <v>45747</v>
      </c>
      <c r="H2383" t="s">
        <v>8</v>
      </c>
      <c r="I2383" t="s">
        <v>36</v>
      </c>
      <c r="J2383">
        <v>4</v>
      </c>
      <c r="K2383" t="s">
        <v>4</v>
      </c>
      <c r="L2383" t="s">
        <v>18</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2470</v>
      </c>
      <c r="B2384" t="s">
        <v>31</v>
      </c>
      <c r="C2384">
        <v>8</v>
      </c>
      <c r="D2384">
        <v>32.9</v>
      </c>
      <c r="E2384">
        <v>263.2</v>
      </c>
      <c r="F2384" s="1">
        <v>45745</v>
      </c>
      <c r="G2384" s="1">
        <v>45746</v>
      </c>
      <c r="H2384" t="s">
        <v>2</v>
      </c>
      <c r="I2384" t="s">
        <v>36</v>
      </c>
      <c r="J2384">
        <v>5</v>
      </c>
      <c r="K2384" t="s">
        <v>4</v>
      </c>
      <c r="L2384" t="s">
        <v>18</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2471</v>
      </c>
      <c r="B2385" t="s">
        <v>39</v>
      </c>
      <c r="C2385">
        <v>2</v>
      </c>
      <c r="D2385">
        <v>43.6</v>
      </c>
      <c r="E2385">
        <v>87.2</v>
      </c>
      <c r="F2385" s="1">
        <v>45745</v>
      </c>
      <c r="G2385" s="1">
        <v>45746</v>
      </c>
      <c r="H2385" t="s">
        <v>8</v>
      </c>
      <c r="I2385" t="s">
        <v>20</v>
      </c>
      <c r="J2385">
        <v>5</v>
      </c>
      <c r="K2385" t="s">
        <v>4</v>
      </c>
      <c r="L2385" t="s">
        <v>18</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2472</v>
      </c>
      <c r="B2386" t="s">
        <v>108</v>
      </c>
      <c r="C2386">
        <v>4</v>
      </c>
      <c r="D2386">
        <v>78.400000000000006</v>
      </c>
      <c r="E2386">
        <v>313.60000000000002</v>
      </c>
      <c r="F2386" s="1">
        <v>45745</v>
      </c>
      <c r="G2386" s="1">
        <v>45746</v>
      </c>
      <c r="H2386" t="s">
        <v>8</v>
      </c>
      <c r="I2386" t="s">
        <v>25</v>
      </c>
      <c r="J2386">
        <v>4</v>
      </c>
      <c r="K2386" t="s">
        <v>4</v>
      </c>
      <c r="L2386" t="s">
        <v>18</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2473</v>
      </c>
      <c r="B2387" t="s">
        <v>24</v>
      </c>
      <c r="C2387">
        <v>2</v>
      </c>
      <c r="D2387">
        <v>56.5</v>
      </c>
      <c r="E2387">
        <v>113</v>
      </c>
      <c r="F2387" s="1">
        <v>45745</v>
      </c>
      <c r="G2387" s="1">
        <v>45749</v>
      </c>
      <c r="H2387" t="s">
        <v>8</v>
      </c>
      <c r="I2387" t="s">
        <v>20</v>
      </c>
      <c r="J2387">
        <v>3</v>
      </c>
      <c r="K2387" t="s">
        <v>4</v>
      </c>
      <c r="L2387" t="s">
        <v>18</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2474</v>
      </c>
      <c r="B2388" t="s">
        <v>113</v>
      </c>
      <c r="C2388">
        <v>1</v>
      </c>
      <c r="D2388">
        <v>36.700000000000003</v>
      </c>
      <c r="E2388">
        <v>36.700000000000003</v>
      </c>
      <c r="F2388" s="1">
        <v>45745</v>
      </c>
      <c r="G2388" s="1">
        <v>45746</v>
      </c>
      <c r="H2388" t="s">
        <v>12</v>
      </c>
      <c r="I2388" t="s">
        <v>3</v>
      </c>
      <c r="J2388">
        <v>5</v>
      </c>
      <c r="K2388" t="s">
        <v>4</v>
      </c>
      <c r="L2388" t="s">
        <v>18</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2475</v>
      </c>
      <c r="B2389" t="s">
        <v>11</v>
      </c>
      <c r="C2389">
        <v>4</v>
      </c>
      <c r="D2389">
        <v>103.6</v>
      </c>
      <c r="E2389">
        <v>414.4</v>
      </c>
      <c r="F2389" s="1">
        <v>45745</v>
      </c>
      <c r="G2389" s="1">
        <v>45756</v>
      </c>
      <c r="H2389" t="s">
        <v>8</v>
      </c>
      <c r="I2389" t="s">
        <v>55</v>
      </c>
      <c r="J2389">
        <v>5</v>
      </c>
      <c r="K2389" t="s">
        <v>4</v>
      </c>
      <c r="L2389" t="s">
        <v>18</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2476</v>
      </c>
      <c r="B2390" t="s">
        <v>29</v>
      </c>
      <c r="C2390">
        <v>6</v>
      </c>
      <c r="D2390">
        <v>16.2</v>
      </c>
      <c r="E2390">
        <v>97.199999999999989</v>
      </c>
      <c r="F2390" s="1">
        <v>45745</v>
      </c>
      <c r="G2390" s="1">
        <v>45749</v>
      </c>
      <c r="H2390" t="s">
        <v>8</v>
      </c>
      <c r="I2390" t="s">
        <v>20</v>
      </c>
      <c r="J2390">
        <v>5</v>
      </c>
      <c r="K2390" t="s">
        <v>4</v>
      </c>
      <c r="L2390" t="s">
        <v>40</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2477</v>
      </c>
      <c r="B2391" t="s">
        <v>29</v>
      </c>
      <c r="C2391">
        <v>2</v>
      </c>
      <c r="D2391">
        <v>20.2</v>
      </c>
      <c r="E2391">
        <v>40.4</v>
      </c>
      <c r="F2391" s="1">
        <v>45745</v>
      </c>
      <c r="G2391" s="1">
        <v>45746</v>
      </c>
      <c r="H2391" t="s">
        <v>12</v>
      </c>
      <c r="I2391" t="s">
        <v>3</v>
      </c>
      <c r="J2391">
        <v>4</v>
      </c>
      <c r="K2391" t="s">
        <v>4</v>
      </c>
      <c r="L2391" t="s">
        <v>40</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2478</v>
      </c>
      <c r="B2392" t="s">
        <v>52</v>
      </c>
      <c r="C2392">
        <v>2</v>
      </c>
      <c r="D2392">
        <v>26.9</v>
      </c>
      <c r="E2392">
        <v>53.8</v>
      </c>
      <c r="F2392" s="1">
        <v>45745</v>
      </c>
      <c r="G2392" s="1">
        <v>45747</v>
      </c>
      <c r="H2392" t="s">
        <v>12</v>
      </c>
      <c r="I2392" t="s">
        <v>25</v>
      </c>
      <c r="J2392">
        <v>4</v>
      </c>
      <c r="K2392" t="s">
        <v>4</v>
      </c>
      <c r="L2392" t="s">
        <v>40</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2479</v>
      </c>
      <c r="B2393" t="s">
        <v>7</v>
      </c>
      <c r="C2393">
        <v>2</v>
      </c>
      <c r="D2393">
        <v>82.4</v>
      </c>
      <c r="E2393">
        <v>164.8</v>
      </c>
      <c r="F2393" s="1">
        <v>45745</v>
      </c>
      <c r="G2393" s="1">
        <v>45748</v>
      </c>
      <c r="H2393" t="s">
        <v>2</v>
      </c>
      <c r="I2393" t="s">
        <v>3</v>
      </c>
      <c r="J2393">
        <v>4</v>
      </c>
      <c r="K2393" t="s">
        <v>4</v>
      </c>
      <c r="L2393" t="s">
        <v>44</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2480</v>
      </c>
      <c r="B2394" t="s">
        <v>11</v>
      </c>
      <c r="C2394">
        <v>2</v>
      </c>
      <c r="D2394">
        <v>117.8</v>
      </c>
      <c r="E2394">
        <v>235.6</v>
      </c>
      <c r="F2394" s="1">
        <v>45745</v>
      </c>
      <c r="G2394" s="1">
        <v>45747</v>
      </c>
      <c r="H2394" t="s">
        <v>8</v>
      </c>
      <c r="I2394" t="s">
        <v>20</v>
      </c>
      <c r="J2394">
        <v>5</v>
      </c>
      <c r="K2394" t="s">
        <v>4</v>
      </c>
      <c r="L2394" t="s">
        <v>47</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2481</v>
      </c>
      <c r="B2395" t="s">
        <v>52</v>
      </c>
      <c r="C2395">
        <v>4</v>
      </c>
      <c r="D2395">
        <v>36.700000000000003</v>
      </c>
      <c r="E2395">
        <v>146.80000000000001</v>
      </c>
      <c r="F2395" s="1">
        <v>45745</v>
      </c>
      <c r="G2395" s="1">
        <v>45746</v>
      </c>
      <c r="H2395" t="s">
        <v>8</v>
      </c>
      <c r="I2395" t="s">
        <v>20</v>
      </c>
      <c r="J2395">
        <v>4</v>
      </c>
      <c r="K2395" t="s">
        <v>4</v>
      </c>
      <c r="L2395" t="s">
        <v>47</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2482</v>
      </c>
      <c r="B2396" t="s">
        <v>120</v>
      </c>
      <c r="C2396">
        <v>3</v>
      </c>
      <c r="D2396">
        <v>46.8</v>
      </c>
      <c r="E2396">
        <v>140.39999999999998</v>
      </c>
      <c r="F2396" s="1">
        <v>45745</v>
      </c>
      <c r="G2396" s="1">
        <v>45746</v>
      </c>
      <c r="H2396" t="s">
        <v>8</v>
      </c>
      <c r="I2396" t="s">
        <v>55</v>
      </c>
      <c r="J2396">
        <v>5</v>
      </c>
      <c r="K2396" t="s">
        <v>4</v>
      </c>
      <c r="L2396" t="s">
        <v>59</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2483</v>
      </c>
      <c r="B2397" t="s">
        <v>15</v>
      </c>
      <c r="C2397">
        <v>1</v>
      </c>
      <c r="D2397">
        <v>61.4</v>
      </c>
      <c r="E2397">
        <v>61.4</v>
      </c>
      <c r="F2397" s="1">
        <v>45745</v>
      </c>
      <c r="G2397" s="1">
        <v>45746</v>
      </c>
      <c r="H2397" t="s">
        <v>8</v>
      </c>
      <c r="I2397" t="s">
        <v>20</v>
      </c>
      <c r="J2397">
        <v>4</v>
      </c>
      <c r="K2397" t="s">
        <v>4</v>
      </c>
      <c r="L2397" t="s">
        <v>59</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2484</v>
      </c>
      <c r="B2398" t="s">
        <v>108</v>
      </c>
      <c r="C2398">
        <v>2</v>
      </c>
      <c r="D2398">
        <v>22.9</v>
      </c>
      <c r="E2398">
        <v>45.8</v>
      </c>
      <c r="F2398" s="1">
        <v>45745</v>
      </c>
      <c r="G2398" s="1">
        <v>45746</v>
      </c>
      <c r="H2398" t="s">
        <v>8</v>
      </c>
      <c r="I2398" t="s">
        <v>3</v>
      </c>
      <c r="J2398">
        <v>4</v>
      </c>
      <c r="K2398" t="s">
        <v>4</v>
      </c>
      <c r="L2398" t="s">
        <v>62</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2485</v>
      </c>
      <c r="B2399" t="s">
        <v>39</v>
      </c>
      <c r="C2399">
        <v>2</v>
      </c>
      <c r="D2399">
        <v>22.1</v>
      </c>
      <c r="E2399">
        <v>44.2</v>
      </c>
      <c r="F2399" s="1">
        <v>45745</v>
      </c>
      <c r="G2399" s="1">
        <v>45746</v>
      </c>
      <c r="H2399" t="s">
        <v>12</v>
      </c>
      <c r="I2399" t="s">
        <v>55</v>
      </c>
      <c r="J2399">
        <v>4</v>
      </c>
      <c r="K2399" t="s">
        <v>4</v>
      </c>
      <c r="L2399" t="s">
        <v>62</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2486</v>
      </c>
      <c r="B2400" t="s">
        <v>54</v>
      </c>
      <c r="C2400">
        <v>2</v>
      </c>
      <c r="D2400">
        <v>31</v>
      </c>
      <c r="E2400">
        <v>62</v>
      </c>
      <c r="F2400" s="1">
        <v>45745</v>
      </c>
      <c r="G2400" s="1">
        <v>45747</v>
      </c>
      <c r="H2400" t="s">
        <v>12</v>
      </c>
      <c r="I2400" t="s">
        <v>25</v>
      </c>
      <c r="J2400">
        <v>4</v>
      </c>
      <c r="K2400" t="s">
        <v>4</v>
      </c>
      <c r="L2400" t="s">
        <v>93</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2487</v>
      </c>
      <c r="B2401" t="s">
        <v>131</v>
      </c>
      <c r="C2401">
        <v>2</v>
      </c>
      <c r="D2401">
        <v>84.2</v>
      </c>
      <c r="E2401">
        <v>168.4</v>
      </c>
      <c r="F2401" s="1">
        <v>45745</v>
      </c>
      <c r="G2401" s="1">
        <v>45747</v>
      </c>
      <c r="H2401" t="s">
        <v>8</v>
      </c>
      <c r="I2401" t="s">
        <v>25</v>
      </c>
      <c r="J2401">
        <v>5</v>
      </c>
      <c r="K2401" t="s">
        <v>4</v>
      </c>
      <c r="L2401" t="s">
        <v>67</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971C9-7584-4CBE-9C41-F7DB926314D7}">
  <dimension ref="A4:A20"/>
  <sheetViews>
    <sheetView showGridLines="0" workbookViewId="0">
      <selection activeCell="D27" sqref="D27"/>
    </sheetView>
  </sheetViews>
  <sheetFormatPr defaultRowHeight="14.4" x14ac:dyDescent="0.3"/>
  <cols>
    <col min="1" max="1" width="30.77734375" bestFit="1" customWidth="1"/>
  </cols>
  <sheetData>
    <row r="4" spans="1:1" x14ac:dyDescent="0.3">
      <c r="A4" s="3" t="s">
        <v>2503</v>
      </c>
    </row>
    <row r="5" spans="1:1" x14ac:dyDescent="0.3">
      <c r="A5" s="4" t="s">
        <v>2504</v>
      </c>
    </row>
    <row r="6" spans="1:1" x14ac:dyDescent="0.3">
      <c r="A6" s="4" t="s">
        <v>2505</v>
      </c>
    </row>
    <row r="7" spans="1:1" x14ac:dyDescent="0.3">
      <c r="A7" s="4" t="s">
        <v>2506</v>
      </c>
    </row>
    <row r="8" spans="1:1" x14ac:dyDescent="0.3">
      <c r="A8" s="4" t="s">
        <v>2507</v>
      </c>
    </row>
    <row r="9" spans="1:1" x14ac:dyDescent="0.3">
      <c r="A9" s="4" t="s">
        <v>2508</v>
      </c>
    </row>
    <row r="12" spans="1:1" x14ac:dyDescent="0.3">
      <c r="A12" s="3" t="s">
        <v>2509</v>
      </c>
    </row>
    <row r="13" spans="1:1" x14ac:dyDescent="0.3">
      <c r="A13" t="s">
        <v>2510</v>
      </c>
    </row>
    <row r="14" spans="1:1" x14ac:dyDescent="0.3">
      <c r="A14" t="s">
        <v>2511</v>
      </c>
    </row>
    <row r="15" spans="1:1" x14ac:dyDescent="0.3">
      <c r="A15" t="s">
        <v>2512</v>
      </c>
    </row>
    <row r="16" spans="1:1" x14ac:dyDescent="0.3">
      <c r="A16" t="s">
        <v>2513</v>
      </c>
    </row>
    <row r="17" spans="1:1" x14ac:dyDescent="0.3">
      <c r="A17" t="s">
        <v>2514</v>
      </c>
    </row>
    <row r="18" spans="1:1" x14ac:dyDescent="0.3">
      <c r="A18" t="s">
        <v>2515</v>
      </c>
    </row>
    <row r="19" spans="1:1" x14ac:dyDescent="0.3">
      <c r="A19" t="s">
        <v>2516</v>
      </c>
    </row>
    <row r="20" spans="1:1" x14ac:dyDescent="0.3">
      <c r="A20" t="s">
        <v>2517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9C8C-8EAB-44CC-8F10-CF4F8531F43A}">
  <dimension ref="A2:N111"/>
  <sheetViews>
    <sheetView showGridLines="0" topLeftCell="A8" workbookViewId="0">
      <selection activeCell="F7" sqref="F7"/>
    </sheetView>
  </sheetViews>
  <sheetFormatPr defaultRowHeight="14.4" x14ac:dyDescent="0.3"/>
  <cols>
    <col min="1" max="1" width="13.21875" bestFit="1" customWidth="1"/>
    <col min="2" max="2" width="12.5546875" bestFit="1" customWidth="1"/>
    <col min="3" max="3" width="20" bestFit="1" customWidth="1"/>
    <col min="4" max="4" width="14.88671875" bestFit="1" customWidth="1"/>
    <col min="5" max="5" width="14.44140625" bestFit="1" customWidth="1"/>
    <col min="6" max="6" width="23.33203125" bestFit="1" customWidth="1"/>
    <col min="7" max="8" width="5" bestFit="1" customWidth="1"/>
    <col min="9" max="9" width="4" bestFit="1" customWidth="1"/>
    <col min="10" max="10" width="10.77734375" bestFit="1" customWidth="1"/>
    <col min="11" max="11" width="10" bestFit="1" customWidth="1"/>
    <col min="12" max="12" width="20" bestFit="1" customWidth="1"/>
    <col min="13" max="13" width="12.5546875" bestFit="1" customWidth="1"/>
    <col min="14" max="14" width="14.88671875" bestFit="1" customWidth="1"/>
    <col min="15" max="16" width="5" bestFit="1" customWidth="1"/>
    <col min="17" max="17" width="4" bestFit="1" customWidth="1"/>
    <col min="18" max="18" width="10.77734375" bestFit="1" customWidth="1"/>
    <col min="19" max="19" width="12.88671875" bestFit="1" customWidth="1"/>
    <col min="20" max="20" width="11.21875" bestFit="1" customWidth="1"/>
    <col min="21" max="21" width="11.77734375" bestFit="1" customWidth="1"/>
    <col min="22" max="22" width="10" bestFit="1" customWidth="1"/>
    <col min="23" max="23" width="9.109375" bestFit="1" customWidth="1"/>
    <col min="24" max="24" width="12.33203125" bestFit="1" customWidth="1"/>
    <col min="25" max="25" width="7.21875" bestFit="1" customWidth="1"/>
    <col min="26" max="26" width="10.77734375" bestFit="1" customWidth="1"/>
  </cols>
  <sheetData>
    <row r="2" spans="1:13" x14ac:dyDescent="0.3">
      <c r="H2" t="s">
        <v>2526</v>
      </c>
    </row>
    <row r="3" spans="1:13" x14ac:dyDescent="0.3">
      <c r="A3" t="s">
        <v>2520</v>
      </c>
      <c r="B3" t="s">
        <v>2521</v>
      </c>
      <c r="C3" t="s">
        <v>2522</v>
      </c>
      <c r="D3" t="s">
        <v>2523</v>
      </c>
      <c r="E3" t="s">
        <v>2524</v>
      </c>
      <c r="F3" t="s">
        <v>2525</v>
      </c>
      <c r="H3" t="s">
        <v>2527</v>
      </c>
      <c r="I3" t="s">
        <v>2492</v>
      </c>
      <c r="J3" t="s">
        <v>2490</v>
      </c>
      <c r="K3" t="s">
        <v>2507</v>
      </c>
      <c r="L3" t="s">
        <v>2528</v>
      </c>
      <c r="M3" t="s">
        <v>2529</v>
      </c>
    </row>
    <row r="4" spans="1:13" x14ac:dyDescent="0.3">
      <c r="A4" s="22">
        <v>2400</v>
      </c>
      <c r="B4" s="22">
        <v>649019.80000000144</v>
      </c>
      <c r="C4" s="22">
        <v>11997</v>
      </c>
      <c r="D4" s="22">
        <v>3.9620833333333332</v>
      </c>
      <c r="E4" s="22">
        <v>53.82754166666669</v>
      </c>
      <c r="F4" s="22">
        <v>2.3424999999999998</v>
      </c>
      <c r="H4" t="str">
        <f>TEXT(A4,"#,##")</f>
        <v>2,400</v>
      </c>
      <c r="I4" s="7" t="str">
        <f>TEXT(B4,"$#,##,.0k")</f>
        <v>$649.0k</v>
      </c>
      <c r="J4" t="str">
        <f t="shared" ref="J4:L4" si="0">TEXT(C4,"#,##")</f>
        <v>11,997</v>
      </c>
      <c r="K4" t="str">
        <f>TEXT(D4,"0.0")</f>
        <v>4.0</v>
      </c>
      <c r="L4" t="str">
        <f t="shared" si="0"/>
        <v>54</v>
      </c>
      <c r="M4" t="str">
        <f>TEXT(F4,"0.0")</f>
        <v>2.3</v>
      </c>
    </row>
    <row r="8" spans="1:13" x14ac:dyDescent="0.3">
      <c r="B8" t="s">
        <v>2530</v>
      </c>
    </row>
    <row r="10" spans="1:13" x14ac:dyDescent="0.3">
      <c r="B10" s="5" t="s">
        <v>2518</v>
      </c>
      <c r="C10" t="s">
        <v>2522</v>
      </c>
      <c r="D10" t="s">
        <v>2521</v>
      </c>
    </row>
    <row r="11" spans="1:13" x14ac:dyDescent="0.3">
      <c r="B11" s="6">
        <v>1</v>
      </c>
      <c r="C11" s="22">
        <v>546</v>
      </c>
      <c r="D11" s="8">
        <v>32413.300000000003</v>
      </c>
    </row>
    <row r="12" spans="1:13" x14ac:dyDescent="0.3">
      <c r="B12" s="6">
        <v>2</v>
      </c>
      <c r="C12" s="22">
        <v>905</v>
      </c>
      <c r="D12" s="8">
        <v>49562.999999999993</v>
      </c>
    </row>
    <row r="13" spans="1:13" x14ac:dyDescent="0.3">
      <c r="B13" s="6">
        <v>3</v>
      </c>
      <c r="C13" s="22">
        <v>796</v>
      </c>
      <c r="D13" s="8">
        <v>41700.400000000016</v>
      </c>
    </row>
    <row r="14" spans="1:13" x14ac:dyDescent="0.3">
      <c r="B14" s="6">
        <v>4</v>
      </c>
      <c r="C14" s="22">
        <v>913</v>
      </c>
      <c r="D14" s="8">
        <v>46782.599999999984</v>
      </c>
    </row>
    <row r="15" spans="1:13" x14ac:dyDescent="0.3">
      <c r="B15" s="6">
        <v>5</v>
      </c>
      <c r="C15" s="22">
        <v>844</v>
      </c>
      <c r="D15" s="8">
        <v>42676.100000000006</v>
      </c>
    </row>
    <row r="16" spans="1:13" x14ac:dyDescent="0.3">
      <c r="B16" s="6">
        <v>6</v>
      </c>
      <c r="C16" s="22">
        <v>1202</v>
      </c>
      <c r="D16" s="8">
        <v>62910.7</v>
      </c>
    </row>
    <row r="17" spans="2:14" x14ac:dyDescent="0.3">
      <c r="B17" s="6">
        <v>7</v>
      </c>
      <c r="C17" s="22">
        <v>935</v>
      </c>
      <c r="D17" s="8">
        <v>50332.200000000004</v>
      </c>
    </row>
    <row r="18" spans="2:14" x14ac:dyDescent="0.3">
      <c r="B18" s="6">
        <v>8</v>
      </c>
      <c r="C18" s="22">
        <v>1128</v>
      </c>
      <c r="D18" s="8">
        <v>58760.599999999977</v>
      </c>
    </row>
    <row r="19" spans="2:14" x14ac:dyDescent="0.3">
      <c r="B19" s="6">
        <v>9</v>
      </c>
      <c r="C19" s="22">
        <v>1007</v>
      </c>
      <c r="D19" s="8">
        <v>52017.299999999996</v>
      </c>
    </row>
    <row r="20" spans="2:14" x14ac:dyDescent="0.3">
      <c r="B20" s="6">
        <v>10</v>
      </c>
      <c r="C20" s="22">
        <v>1128</v>
      </c>
      <c r="D20" s="8">
        <v>64915.700000000033</v>
      </c>
    </row>
    <row r="21" spans="2:14" x14ac:dyDescent="0.3">
      <c r="B21" s="6">
        <v>11</v>
      </c>
      <c r="C21" s="22">
        <v>861</v>
      </c>
      <c r="D21" s="8">
        <v>45943.80000000001</v>
      </c>
    </row>
    <row r="22" spans="2:14" x14ac:dyDescent="0.3">
      <c r="B22" s="6">
        <v>12</v>
      </c>
      <c r="C22" s="22">
        <v>944</v>
      </c>
      <c r="D22" s="8">
        <v>55077.900000000031</v>
      </c>
    </row>
    <row r="23" spans="2:14" x14ac:dyDescent="0.3">
      <c r="B23" s="6">
        <v>13</v>
      </c>
      <c r="C23" s="22">
        <v>788</v>
      </c>
      <c r="D23" s="8">
        <v>45926.19999999999</v>
      </c>
    </row>
    <row r="24" spans="2:14" x14ac:dyDescent="0.3">
      <c r="B24" s="6" t="s">
        <v>2519</v>
      </c>
      <c r="C24" s="22">
        <v>11997</v>
      </c>
      <c r="D24" s="22">
        <v>649019.79999999993</v>
      </c>
    </row>
    <row r="26" spans="2:14" x14ac:dyDescent="0.3">
      <c r="B26" t="s">
        <v>2541</v>
      </c>
    </row>
    <row r="28" spans="2:14" x14ac:dyDescent="0.3">
      <c r="B28" s="5" t="s">
        <v>2518</v>
      </c>
      <c r="C28" t="s">
        <v>2520</v>
      </c>
      <c r="E28" s="5" t="s">
        <v>2522</v>
      </c>
      <c r="F28" s="5" t="s">
        <v>2535</v>
      </c>
      <c r="M28" s="5" t="s">
        <v>2518</v>
      </c>
      <c r="N28" t="s">
        <v>2522</v>
      </c>
    </row>
    <row r="29" spans="2:14" x14ac:dyDescent="0.3">
      <c r="B29" s="6">
        <v>1</v>
      </c>
      <c r="C29" s="22">
        <v>397</v>
      </c>
      <c r="E29" s="5" t="s">
        <v>2518</v>
      </c>
      <c r="G29" t="s">
        <v>12</v>
      </c>
      <c r="H29" t="s">
        <v>8</v>
      </c>
      <c r="I29" t="s">
        <v>74</v>
      </c>
      <c r="J29" t="s">
        <v>2519</v>
      </c>
      <c r="M29" s="6"/>
      <c r="N29" s="22">
        <v>736</v>
      </c>
    </row>
    <row r="30" spans="2:14" x14ac:dyDescent="0.3">
      <c r="B30" s="6">
        <v>2</v>
      </c>
      <c r="C30" s="22">
        <v>540</v>
      </c>
      <c r="E30" s="6" t="s">
        <v>29</v>
      </c>
      <c r="F30" s="22">
        <v>98</v>
      </c>
      <c r="G30" s="22">
        <v>744</v>
      </c>
      <c r="H30" s="22">
        <v>713</v>
      </c>
      <c r="I30" s="22">
        <v>90</v>
      </c>
      <c r="J30" s="22">
        <v>1645</v>
      </c>
      <c r="M30" s="6" t="s">
        <v>12</v>
      </c>
      <c r="N30" s="22">
        <v>6272</v>
      </c>
    </row>
    <row r="31" spans="2:14" x14ac:dyDescent="0.3">
      <c r="B31" s="6">
        <v>3</v>
      </c>
      <c r="C31" s="22">
        <v>375</v>
      </c>
      <c r="E31" s="6" t="s">
        <v>24</v>
      </c>
      <c r="F31" s="22">
        <v>214</v>
      </c>
      <c r="G31" s="22">
        <v>716</v>
      </c>
      <c r="H31" s="22">
        <v>598</v>
      </c>
      <c r="I31" s="22">
        <v>18</v>
      </c>
      <c r="J31" s="22">
        <v>1546</v>
      </c>
      <c r="M31" s="6" t="s">
        <v>8</v>
      </c>
      <c r="N31" s="22">
        <v>4672</v>
      </c>
    </row>
    <row r="32" spans="2:14" x14ac:dyDescent="0.3">
      <c r="B32" s="6">
        <v>4</v>
      </c>
      <c r="C32" s="22">
        <v>246</v>
      </c>
      <c r="E32" s="6" t="s">
        <v>11</v>
      </c>
      <c r="F32" s="22">
        <v>137</v>
      </c>
      <c r="G32" s="22">
        <v>627</v>
      </c>
      <c r="H32" s="22">
        <v>393</v>
      </c>
      <c r="I32" s="22">
        <v>29</v>
      </c>
      <c r="J32" s="22">
        <v>1186</v>
      </c>
      <c r="M32" s="6" t="s">
        <v>74</v>
      </c>
      <c r="N32" s="22">
        <v>317</v>
      </c>
    </row>
    <row r="33" spans="2:14" x14ac:dyDescent="0.3">
      <c r="B33" s="6">
        <v>5</v>
      </c>
      <c r="C33" s="22">
        <v>195</v>
      </c>
      <c r="E33" s="6" t="s">
        <v>7</v>
      </c>
      <c r="F33" s="22">
        <v>16</v>
      </c>
      <c r="G33" s="22">
        <v>568</v>
      </c>
      <c r="H33" s="22">
        <v>306</v>
      </c>
      <c r="I33" s="22">
        <v>22</v>
      </c>
      <c r="J33" s="22">
        <v>912</v>
      </c>
      <c r="M33" s="6" t="s">
        <v>2519</v>
      </c>
      <c r="N33" s="22">
        <v>11997</v>
      </c>
    </row>
    <row r="34" spans="2:14" x14ac:dyDescent="0.3">
      <c r="B34" s="6" t="s">
        <v>2542</v>
      </c>
      <c r="C34" s="22">
        <v>414</v>
      </c>
      <c r="E34" s="6" t="s">
        <v>39</v>
      </c>
      <c r="F34" s="22">
        <v>22</v>
      </c>
      <c r="G34" s="22">
        <v>482</v>
      </c>
      <c r="H34" s="22">
        <v>295</v>
      </c>
      <c r="I34" s="22">
        <v>8</v>
      </c>
      <c r="J34" s="22">
        <v>807</v>
      </c>
    </row>
    <row r="35" spans="2:14" x14ac:dyDescent="0.3">
      <c r="B35" s="6" t="s">
        <v>2543</v>
      </c>
      <c r="C35" s="22">
        <v>233</v>
      </c>
      <c r="E35" s="6" t="s">
        <v>1</v>
      </c>
      <c r="F35" s="22">
        <v>24</v>
      </c>
      <c r="G35" s="22">
        <v>428</v>
      </c>
      <c r="H35" s="22">
        <v>293</v>
      </c>
      <c r="I35" s="22"/>
      <c r="J35" s="22">
        <v>745</v>
      </c>
    </row>
    <row r="36" spans="2:14" x14ac:dyDescent="0.3">
      <c r="B36" s="6" t="s">
        <v>2519</v>
      </c>
      <c r="C36" s="22">
        <v>2400</v>
      </c>
      <c r="E36" s="6" t="s">
        <v>31</v>
      </c>
      <c r="F36" s="22">
        <v>39</v>
      </c>
      <c r="G36" s="22">
        <v>445</v>
      </c>
      <c r="H36" s="22">
        <v>202</v>
      </c>
      <c r="I36" s="22">
        <v>14</v>
      </c>
      <c r="J36" s="22">
        <v>700</v>
      </c>
    </row>
    <row r="37" spans="2:14" x14ac:dyDescent="0.3">
      <c r="E37" s="6" t="s">
        <v>17</v>
      </c>
      <c r="F37" s="22">
        <v>15</v>
      </c>
      <c r="G37" s="22">
        <v>431</v>
      </c>
      <c r="H37" s="22">
        <v>187</v>
      </c>
      <c r="I37" s="22">
        <v>14</v>
      </c>
      <c r="J37" s="22">
        <v>647</v>
      </c>
    </row>
    <row r="38" spans="2:14" x14ac:dyDescent="0.3">
      <c r="E38" s="6" t="s">
        <v>27</v>
      </c>
      <c r="F38" s="22">
        <v>9</v>
      </c>
      <c r="G38" s="22">
        <v>264</v>
      </c>
      <c r="H38" s="22">
        <v>318</v>
      </c>
      <c r="I38" s="22">
        <v>15</v>
      </c>
      <c r="J38" s="22">
        <v>606</v>
      </c>
    </row>
    <row r="39" spans="2:14" x14ac:dyDescent="0.3">
      <c r="E39" s="6" t="s">
        <v>22</v>
      </c>
      <c r="F39" s="22">
        <v>23</v>
      </c>
      <c r="G39" s="22">
        <v>296</v>
      </c>
      <c r="H39" s="22">
        <v>275</v>
      </c>
      <c r="I39" s="22">
        <v>9</v>
      </c>
      <c r="J39" s="22">
        <v>603</v>
      </c>
    </row>
    <row r="40" spans="2:14" x14ac:dyDescent="0.3">
      <c r="E40" s="6" t="s">
        <v>108</v>
      </c>
      <c r="F40" s="22">
        <v>8</v>
      </c>
      <c r="G40" s="22">
        <v>153</v>
      </c>
      <c r="H40" s="22">
        <v>246</v>
      </c>
      <c r="I40" s="22">
        <v>30</v>
      </c>
      <c r="J40" s="22">
        <v>437</v>
      </c>
    </row>
    <row r="41" spans="2:14" x14ac:dyDescent="0.3">
      <c r="E41" s="6" t="s">
        <v>131</v>
      </c>
      <c r="F41" s="22">
        <v>31</v>
      </c>
      <c r="G41" s="22">
        <v>189</v>
      </c>
      <c r="H41" s="22">
        <v>168</v>
      </c>
      <c r="I41" s="22">
        <v>10</v>
      </c>
      <c r="J41" s="22">
        <v>398</v>
      </c>
    </row>
    <row r="42" spans="2:14" x14ac:dyDescent="0.3">
      <c r="E42" s="6" t="s">
        <v>54</v>
      </c>
      <c r="F42" s="22">
        <v>24</v>
      </c>
      <c r="G42" s="22">
        <v>234</v>
      </c>
      <c r="H42" s="22">
        <v>93</v>
      </c>
      <c r="I42" s="22">
        <v>19</v>
      </c>
      <c r="J42" s="22">
        <v>370</v>
      </c>
    </row>
    <row r="43" spans="2:14" x14ac:dyDescent="0.3">
      <c r="E43" s="6" t="s">
        <v>15</v>
      </c>
      <c r="F43" s="22">
        <v>28</v>
      </c>
      <c r="G43" s="22">
        <v>146</v>
      </c>
      <c r="H43" s="22">
        <v>94</v>
      </c>
      <c r="I43" s="22">
        <v>4</v>
      </c>
      <c r="J43" s="22">
        <v>272</v>
      </c>
    </row>
    <row r="44" spans="2:14" x14ac:dyDescent="0.3">
      <c r="E44" s="6" t="s">
        <v>120</v>
      </c>
      <c r="F44" s="22">
        <v>12</v>
      </c>
      <c r="G44" s="22">
        <v>127</v>
      </c>
      <c r="H44" s="22">
        <v>118</v>
      </c>
      <c r="I44" s="22">
        <v>13</v>
      </c>
      <c r="J44" s="22">
        <v>270</v>
      </c>
    </row>
    <row r="45" spans="2:14" x14ac:dyDescent="0.3">
      <c r="E45" s="6" t="s">
        <v>52</v>
      </c>
      <c r="F45" s="22"/>
      <c r="G45" s="22">
        <v>179</v>
      </c>
      <c r="H45" s="22">
        <v>76</v>
      </c>
      <c r="I45" s="22">
        <v>3</v>
      </c>
      <c r="J45" s="22">
        <v>258</v>
      </c>
    </row>
    <row r="46" spans="2:14" x14ac:dyDescent="0.3">
      <c r="E46" s="6" t="s">
        <v>113</v>
      </c>
      <c r="F46" s="22">
        <v>24</v>
      </c>
      <c r="G46" s="22">
        <v>99</v>
      </c>
      <c r="H46" s="22">
        <v>69</v>
      </c>
      <c r="I46" s="22">
        <v>3</v>
      </c>
      <c r="J46" s="22">
        <v>195</v>
      </c>
    </row>
    <row r="47" spans="2:14" x14ac:dyDescent="0.3">
      <c r="E47" s="6" t="s">
        <v>61</v>
      </c>
      <c r="F47" s="22">
        <v>6</v>
      </c>
      <c r="G47" s="22">
        <v>75</v>
      </c>
      <c r="H47" s="22">
        <v>103</v>
      </c>
      <c r="I47" s="22">
        <v>4</v>
      </c>
      <c r="J47" s="22">
        <v>188</v>
      </c>
    </row>
    <row r="48" spans="2:14" x14ac:dyDescent="0.3">
      <c r="E48" s="6" t="s">
        <v>66</v>
      </c>
      <c r="F48" s="22">
        <v>6</v>
      </c>
      <c r="G48" s="22">
        <v>43</v>
      </c>
      <c r="H48" s="22">
        <v>90</v>
      </c>
      <c r="I48" s="22">
        <v>8</v>
      </c>
      <c r="J48" s="22">
        <v>147</v>
      </c>
    </row>
    <row r="49" spans="2:13" x14ac:dyDescent="0.3">
      <c r="E49" s="6" t="s">
        <v>156</v>
      </c>
      <c r="F49" s="22"/>
      <c r="G49" s="22">
        <v>26</v>
      </c>
      <c r="H49" s="22">
        <v>35</v>
      </c>
      <c r="I49" s="22">
        <v>4</v>
      </c>
      <c r="J49" s="22">
        <v>65</v>
      </c>
    </row>
    <row r="50" spans="2:13" x14ac:dyDescent="0.3">
      <c r="E50" s="6" t="s">
        <v>2519</v>
      </c>
      <c r="F50" s="22">
        <v>736</v>
      </c>
      <c r="G50" s="22">
        <v>6272</v>
      </c>
      <c r="H50" s="22">
        <v>4672</v>
      </c>
      <c r="I50" s="22">
        <v>317</v>
      </c>
      <c r="J50" s="22">
        <v>11997</v>
      </c>
    </row>
    <row r="53" spans="2:13" x14ac:dyDescent="0.3">
      <c r="B53" s="5" t="s">
        <v>2498</v>
      </c>
      <c r="C53" s="5" t="s">
        <v>2499</v>
      </c>
      <c r="D53" t="s">
        <v>2522</v>
      </c>
      <c r="E53" t="s">
        <v>2521</v>
      </c>
      <c r="G53" s="15" t="s">
        <v>2498</v>
      </c>
      <c r="H53" s="15" t="s">
        <v>2499</v>
      </c>
      <c r="I53" s="15" t="s">
        <v>2522</v>
      </c>
      <c r="K53" s="15" t="s">
        <v>2498</v>
      </c>
      <c r="L53" s="15" t="s">
        <v>2499</v>
      </c>
      <c r="M53" s="15" t="s">
        <v>2521</v>
      </c>
    </row>
    <row r="54" spans="2:13" x14ac:dyDescent="0.3">
      <c r="B54" t="s">
        <v>4</v>
      </c>
      <c r="C54" t="s">
        <v>100</v>
      </c>
      <c r="D54" s="22">
        <v>579</v>
      </c>
      <c r="E54" s="22">
        <v>31884.999999999996</v>
      </c>
      <c r="G54" s="23" t="s">
        <v>4</v>
      </c>
      <c r="H54" t="s">
        <v>100</v>
      </c>
      <c r="I54" s="22">
        <v>579</v>
      </c>
      <c r="K54" s="23" t="s">
        <v>4</v>
      </c>
      <c r="L54" t="s">
        <v>100</v>
      </c>
      <c r="M54" s="22">
        <v>31884.999999999996</v>
      </c>
    </row>
    <row r="55" spans="2:13" x14ac:dyDescent="0.3">
      <c r="B55" t="s">
        <v>4</v>
      </c>
      <c r="C55" t="s">
        <v>5</v>
      </c>
      <c r="D55" s="22">
        <v>1</v>
      </c>
      <c r="E55" s="22">
        <v>10.9</v>
      </c>
      <c r="G55" s="23" t="s">
        <v>4</v>
      </c>
      <c r="H55" t="s">
        <v>5</v>
      </c>
      <c r="I55" s="22">
        <v>1</v>
      </c>
      <c r="K55" s="23" t="s">
        <v>4</v>
      </c>
      <c r="L55" t="s">
        <v>5</v>
      </c>
      <c r="M55" s="22">
        <v>10.9</v>
      </c>
    </row>
    <row r="56" spans="2:13" x14ac:dyDescent="0.3">
      <c r="B56" t="s">
        <v>4</v>
      </c>
      <c r="C56" t="s">
        <v>626</v>
      </c>
      <c r="D56" s="22">
        <v>9</v>
      </c>
      <c r="E56" s="22">
        <v>800.3</v>
      </c>
      <c r="G56" s="23" t="s">
        <v>4</v>
      </c>
      <c r="H56" t="s">
        <v>626</v>
      </c>
      <c r="I56" s="22">
        <v>9</v>
      </c>
      <c r="K56" s="23" t="s">
        <v>4</v>
      </c>
      <c r="L56" t="s">
        <v>626</v>
      </c>
      <c r="M56" s="22">
        <v>800.3</v>
      </c>
    </row>
    <row r="57" spans="2:13" x14ac:dyDescent="0.3">
      <c r="B57" t="s">
        <v>4</v>
      </c>
      <c r="C57" t="s">
        <v>952</v>
      </c>
      <c r="D57" s="22">
        <v>35</v>
      </c>
      <c r="E57" s="22">
        <v>1062.5999999999999</v>
      </c>
      <c r="G57" s="23" t="s">
        <v>4</v>
      </c>
      <c r="H57" t="s">
        <v>952</v>
      </c>
      <c r="I57" s="22">
        <v>35</v>
      </c>
      <c r="K57" s="23" t="s">
        <v>4</v>
      </c>
      <c r="L57" t="s">
        <v>952</v>
      </c>
      <c r="M57" s="22">
        <v>1062.5999999999999</v>
      </c>
    </row>
    <row r="58" spans="2:13" x14ac:dyDescent="0.3">
      <c r="B58" t="s">
        <v>4</v>
      </c>
      <c r="C58" t="s">
        <v>69</v>
      </c>
      <c r="D58" s="22">
        <v>12</v>
      </c>
      <c r="E58" s="22">
        <v>326.20000000000005</v>
      </c>
      <c r="G58" s="23" t="s">
        <v>4</v>
      </c>
      <c r="H58" t="s">
        <v>69</v>
      </c>
      <c r="I58" s="22">
        <v>12</v>
      </c>
      <c r="K58" s="23" t="s">
        <v>4</v>
      </c>
      <c r="L58" t="s">
        <v>69</v>
      </c>
      <c r="M58" s="22">
        <v>326.20000000000005</v>
      </c>
    </row>
    <row r="59" spans="2:13" x14ac:dyDescent="0.3">
      <c r="B59" t="s">
        <v>4</v>
      </c>
      <c r="C59" t="s">
        <v>1368</v>
      </c>
      <c r="D59" s="22">
        <v>4</v>
      </c>
      <c r="E59" s="22">
        <v>167.5</v>
      </c>
      <c r="G59" s="23" t="s">
        <v>4</v>
      </c>
      <c r="H59" t="s">
        <v>1368</v>
      </c>
      <c r="I59" s="22">
        <v>4</v>
      </c>
      <c r="K59" s="23" t="s">
        <v>4</v>
      </c>
      <c r="L59" t="s">
        <v>1368</v>
      </c>
      <c r="M59" s="22">
        <v>167.5</v>
      </c>
    </row>
    <row r="60" spans="2:13" x14ac:dyDescent="0.3">
      <c r="B60" t="s">
        <v>4</v>
      </c>
      <c r="C60" t="s">
        <v>9</v>
      </c>
      <c r="D60" s="22">
        <v>341</v>
      </c>
      <c r="E60" s="22">
        <v>16168.7</v>
      </c>
      <c r="G60" s="23" t="s">
        <v>4</v>
      </c>
      <c r="H60" t="s">
        <v>9</v>
      </c>
      <c r="I60" s="22">
        <v>341</v>
      </c>
      <c r="K60" s="23" t="s">
        <v>4</v>
      </c>
      <c r="L60" t="s">
        <v>9</v>
      </c>
      <c r="M60" s="22">
        <v>16168.7</v>
      </c>
    </row>
    <row r="61" spans="2:13" x14ac:dyDescent="0.3">
      <c r="B61" t="s">
        <v>4</v>
      </c>
      <c r="C61" t="s">
        <v>2189</v>
      </c>
      <c r="D61" s="22">
        <v>13</v>
      </c>
      <c r="E61" s="22">
        <v>322.40000000000003</v>
      </c>
      <c r="G61" s="23" t="s">
        <v>4</v>
      </c>
      <c r="H61" t="s">
        <v>2189</v>
      </c>
      <c r="I61" s="22">
        <v>13</v>
      </c>
      <c r="K61" s="23" t="s">
        <v>4</v>
      </c>
      <c r="L61" t="s">
        <v>2189</v>
      </c>
      <c r="M61" s="22">
        <v>322.40000000000003</v>
      </c>
    </row>
    <row r="62" spans="2:13" x14ac:dyDescent="0.3">
      <c r="B62" t="s">
        <v>4</v>
      </c>
      <c r="C62" t="s">
        <v>422</v>
      </c>
      <c r="D62" s="22">
        <v>31</v>
      </c>
      <c r="E62" s="22">
        <v>2092.8000000000002</v>
      </c>
      <c r="G62" s="23" t="s">
        <v>4</v>
      </c>
      <c r="H62" t="s">
        <v>422</v>
      </c>
      <c r="I62" s="22">
        <v>31</v>
      </c>
      <c r="K62" s="23" t="s">
        <v>4</v>
      </c>
      <c r="L62" t="s">
        <v>422</v>
      </c>
      <c r="M62" s="22">
        <v>2092.8000000000002</v>
      </c>
    </row>
    <row r="63" spans="2:13" x14ac:dyDescent="0.3">
      <c r="B63" t="s">
        <v>4</v>
      </c>
      <c r="C63" t="s">
        <v>13</v>
      </c>
      <c r="D63" s="22">
        <v>279</v>
      </c>
      <c r="E63" s="22">
        <v>12662.500000000002</v>
      </c>
      <c r="G63" s="23" t="s">
        <v>4</v>
      </c>
      <c r="H63" t="s">
        <v>13</v>
      </c>
      <c r="I63" s="22">
        <v>279</v>
      </c>
      <c r="K63" s="23" t="s">
        <v>4</v>
      </c>
      <c r="L63" t="s">
        <v>13</v>
      </c>
      <c r="M63" s="22">
        <v>12662.500000000002</v>
      </c>
    </row>
    <row r="64" spans="2:13" x14ac:dyDescent="0.3">
      <c r="B64" t="s">
        <v>4</v>
      </c>
      <c r="C64" t="s">
        <v>193</v>
      </c>
      <c r="D64" s="22">
        <v>9</v>
      </c>
      <c r="E64" s="22">
        <v>343.2</v>
      </c>
      <c r="G64" s="23" t="s">
        <v>4</v>
      </c>
      <c r="H64" t="s">
        <v>193</v>
      </c>
      <c r="I64" s="22">
        <v>9</v>
      </c>
      <c r="K64" s="23" t="s">
        <v>4</v>
      </c>
      <c r="L64" t="s">
        <v>193</v>
      </c>
      <c r="M64" s="22">
        <v>343.2</v>
      </c>
    </row>
    <row r="65" spans="2:13" x14ac:dyDescent="0.3">
      <c r="B65" t="s">
        <v>4</v>
      </c>
      <c r="C65" t="s">
        <v>572</v>
      </c>
      <c r="D65" s="22">
        <v>49</v>
      </c>
      <c r="E65" s="22">
        <v>2188.2999999999997</v>
      </c>
      <c r="G65" s="23" t="s">
        <v>4</v>
      </c>
      <c r="H65" t="s">
        <v>572</v>
      </c>
      <c r="I65" s="22">
        <v>49</v>
      </c>
      <c r="K65" s="23" t="s">
        <v>4</v>
      </c>
      <c r="L65" t="s">
        <v>572</v>
      </c>
      <c r="M65" s="22">
        <v>2188.2999999999997</v>
      </c>
    </row>
    <row r="66" spans="2:13" x14ac:dyDescent="0.3">
      <c r="B66" t="s">
        <v>4</v>
      </c>
      <c r="C66" t="s">
        <v>316</v>
      </c>
      <c r="D66" s="22">
        <v>59</v>
      </c>
      <c r="E66" s="22">
        <v>2661.5999999999995</v>
      </c>
      <c r="G66" s="23" t="s">
        <v>4</v>
      </c>
      <c r="H66" t="s">
        <v>316</v>
      </c>
      <c r="I66" s="22">
        <v>59</v>
      </c>
      <c r="K66" s="23" t="s">
        <v>4</v>
      </c>
      <c r="L66" t="s">
        <v>316</v>
      </c>
      <c r="M66" s="22">
        <v>2661.5999999999995</v>
      </c>
    </row>
    <row r="67" spans="2:13" x14ac:dyDescent="0.3">
      <c r="B67" t="s">
        <v>4</v>
      </c>
      <c r="C67" t="s">
        <v>71</v>
      </c>
      <c r="D67" s="22">
        <v>8</v>
      </c>
      <c r="E67" s="22">
        <v>887.5</v>
      </c>
      <c r="G67" s="23" t="s">
        <v>4</v>
      </c>
      <c r="H67" t="s">
        <v>71</v>
      </c>
      <c r="I67" s="22">
        <v>8</v>
      </c>
      <c r="K67" s="23" t="s">
        <v>4</v>
      </c>
      <c r="L67" t="s">
        <v>71</v>
      </c>
      <c r="M67" s="22">
        <v>887.5</v>
      </c>
    </row>
    <row r="68" spans="2:13" x14ac:dyDescent="0.3">
      <c r="B68" t="s">
        <v>4</v>
      </c>
      <c r="C68" t="s">
        <v>132</v>
      </c>
      <c r="D68" s="22">
        <v>222</v>
      </c>
      <c r="E68" s="22">
        <v>11354.199999999993</v>
      </c>
      <c r="G68" s="23" t="s">
        <v>4</v>
      </c>
      <c r="H68" t="s">
        <v>132</v>
      </c>
      <c r="I68" s="22">
        <v>222</v>
      </c>
      <c r="K68" s="23" t="s">
        <v>4</v>
      </c>
      <c r="L68" t="s">
        <v>132</v>
      </c>
      <c r="M68" s="22">
        <v>11354.199999999993</v>
      </c>
    </row>
    <row r="69" spans="2:13" x14ac:dyDescent="0.3">
      <c r="B69" t="s">
        <v>4</v>
      </c>
      <c r="C69" t="s">
        <v>319</v>
      </c>
      <c r="D69" s="22">
        <v>36</v>
      </c>
      <c r="E69" s="22">
        <v>1558.4</v>
      </c>
      <c r="G69" s="23" t="s">
        <v>4</v>
      </c>
      <c r="H69" t="s">
        <v>319</v>
      </c>
      <c r="I69" s="22">
        <v>36</v>
      </c>
      <c r="K69" s="23" t="s">
        <v>4</v>
      </c>
      <c r="L69" t="s">
        <v>319</v>
      </c>
      <c r="M69" s="22">
        <v>1558.4</v>
      </c>
    </row>
    <row r="70" spans="2:13" x14ac:dyDescent="0.3">
      <c r="B70" t="s">
        <v>4</v>
      </c>
      <c r="C70" t="s">
        <v>934</v>
      </c>
      <c r="D70" s="22">
        <v>30</v>
      </c>
      <c r="E70" s="22">
        <v>2223.9</v>
      </c>
      <c r="G70" s="23" t="s">
        <v>4</v>
      </c>
      <c r="H70" t="s">
        <v>934</v>
      </c>
      <c r="I70" s="22">
        <v>30</v>
      </c>
      <c r="K70" s="23" t="s">
        <v>4</v>
      </c>
      <c r="L70" t="s">
        <v>934</v>
      </c>
      <c r="M70" s="22">
        <v>2223.9</v>
      </c>
    </row>
    <row r="71" spans="2:13" x14ac:dyDescent="0.3">
      <c r="B71" t="s">
        <v>4</v>
      </c>
      <c r="C71" t="s">
        <v>1411</v>
      </c>
      <c r="D71" s="22">
        <v>1</v>
      </c>
      <c r="E71" s="22">
        <v>26.2</v>
      </c>
      <c r="G71" s="23" t="s">
        <v>4</v>
      </c>
      <c r="H71" t="s">
        <v>1411</v>
      </c>
      <c r="I71" s="22">
        <v>1</v>
      </c>
      <c r="K71" s="23" t="s">
        <v>4</v>
      </c>
      <c r="L71" t="s">
        <v>1411</v>
      </c>
      <c r="M71" s="22">
        <v>26.2</v>
      </c>
    </row>
    <row r="72" spans="2:13" x14ac:dyDescent="0.3">
      <c r="B72" t="s">
        <v>4</v>
      </c>
      <c r="C72" t="s">
        <v>18</v>
      </c>
      <c r="D72" s="22">
        <v>3991</v>
      </c>
      <c r="E72" s="22">
        <v>215551.19999999981</v>
      </c>
      <c r="G72" s="23" t="s">
        <v>4</v>
      </c>
      <c r="H72" t="s">
        <v>18</v>
      </c>
      <c r="I72" s="22">
        <v>3991</v>
      </c>
      <c r="K72" s="23" t="s">
        <v>4</v>
      </c>
      <c r="L72" t="s">
        <v>18</v>
      </c>
      <c r="M72" s="22">
        <v>215551.19999999981</v>
      </c>
    </row>
    <row r="73" spans="2:13" x14ac:dyDescent="0.3">
      <c r="B73" t="s">
        <v>4</v>
      </c>
      <c r="C73" t="s">
        <v>349</v>
      </c>
      <c r="D73" s="22">
        <v>45</v>
      </c>
      <c r="E73" s="22">
        <v>2687.3999999999996</v>
      </c>
      <c r="G73" s="23" t="s">
        <v>4</v>
      </c>
      <c r="H73" t="s">
        <v>349</v>
      </c>
      <c r="I73" s="22">
        <v>45</v>
      </c>
      <c r="K73" s="23" t="s">
        <v>4</v>
      </c>
      <c r="L73" t="s">
        <v>349</v>
      </c>
      <c r="M73" s="22">
        <v>2687.3999999999996</v>
      </c>
    </row>
    <row r="74" spans="2:13" x14ac:dyDescent="0.3">
      <c r="B74" t="s">
        <v>4</v>
      </c>
      <c r="C74" t="s">
        <v>530</v>
      </c>
      <c r="D74" s="22">
        <v>39</v>
      </c>
      <c r="E74" s="22">
        <v>1463.3000000000002</v>
      </c>
      <c r="G74" s="23" t="s">
        <v>4</v>
      </c>
      <c r="H74" t="s">
        <v>530</v>
      </c>
      <c r="I74" s="22">
        <v>39</v>
      </c>
      <c r="K74" s="23" t="s">
        <v>4</v>
      </c>
      <c r="L74" t="s">
        <v>530</v>
      </c>
      <c r="M74" s="22">
        <v>1463.3000000000002</v>
      </c>
    </row>
    <row r="75" spans="2:13" x14ac:dyDescent="0.3">
      <c r="B75" t="s">
        <v>4</v>
      </c>
      <c r="C75" t="s">
        <v>401</v>
      </c>
      <c r="D75" s="22">
        <v>6</v>
      </c>
      <c r="E75" s="22">
        <v>445.79999999999995</v>
      </c>
      <c r="G75" s="23" t="s">
        <v>4</v>
      </c>
      <c r="H75" t="s">
        <v>401</v>
      </c>
      <c r="I75" s="22">
        <v>6</v>
      </c>
      <c r="K75" s="23" t="s">
        <v>4</v>
      </c>
      <c r="L75" t="s">
        <v>401</v>
      </c>
      <c r="M75" s="22">
        <v>445.79999999999995</v>
      </c>
    </row>
    <row r="76" spans="2:13" x14ac:dyDescent="0.3">
      <c r="B76" t="s">
        <v>4</v>
      </c>
      <c r="C76" t="s">
        <v>243</v>
      </c>
      <c r="D76" s="22">
        <v>9</v>
      </c>
      <c r="E76" s="22">
        <v>273.59999999999997</v>
      </c>
      <c r="G76" s="23" t="s">
        <v>4</v>
      </c>
      <c r="H76" t="s">
        <v>243</v>
      </c>
      <c r="I76" s="22">
        <v>9</v>
      </c>
      <c r="K76" s="23" t="s">
        <v>4</v>
      </c>
      <c r="L76" t="s">
        <v>243</v>
      </c>
      <c r="M76" s="22">
        <v>273.59999999999997</v>
      </c>
    </row>
    <row r="77" spans="2:13" x14ac:dyDescent="0.3">
      <c r="B77" t="s">
        <v>4</v>
      </c>
      <c r="C77" t="s">
        <v>171</v>
      </c>
      <c r="D77" s="22">
        <v>60</v>
      </c>
      <c r="E77" s="22">
        <v>2690.4</v>
      </c>
      <c r="G77" s="23" t="s">
        <v>4</v>
      </c>
      <c r="H77" t="s">
        <v>171</v>
      </c>
      <c r="I77" s="22">
        <v>60</v>
      </c>
      <c r="K77" s="23" t="s">
        <v>4</v>
      </c>
      <c r="L77" t="s">
        <v>171</v>
      </c>
      <c r="M77" s="22">
        <v>2690.4</v>
      </c>
    </row>
    <row r="78" spans="2:13" x14ac:dyDescent="0.3">
      <c r="B78" t="s">
        <v>4</v>
      </c>
      <c r="C78" t="s">
        <v>377</v>
      </c>
      <c r="D78" s="22">
        <v>2</v>
      </c>
      <c r="E78" s="22">
        <v>28.4</v>
      </c>
      <c r="G78" s="23" t="s">
        <v>4</v>
      </c>
      <c r="H78" t="s">
        <v>377</v>
      </c>
      <c r="I78" s="22">
        <v>2</v>
      </c>
      <c r="K78" s="23" t="s">
        <v>4</v>
      </c>
      <c r="L78" t="s">
        <v>377</v>
      </c>
      <c r="M78" s="22">
        <v>28.4</v>
      </c>
    </row>
    <row r="79" spans="2:13" x14ac:dyDescent="0.3">
      <c r="B79" t="s">
        <v>4</v>
      </c>
      <c r="C79" t="s">
        <v>655</v>
      </c>
      <c r="D79" s="22">
        <v>4</v>
      </c>
      <c r="E79" s="22">
        <v>204.8</v>
      </c>
      <c r="G79" s="23" t="s">
        <v>4</v>
      </c>
      <c r="H79" t="s">
        <v>655</v>
      </c>
      <c r="I79" s="22">
        <v>4</v>
      </c>
      <c r="K79" s="23" t="s">
        <v>4</v>
      </c>
      <c r="L79" t="s">
        <v>655</v>
      </c>
      <c r="M79" s="22">
        <v>204.8</v>
      </c>
    </row>
    <row r="80" spans="2:13" x14ac:dyDescent="0.3">
      <c r="B80" t="s">
        <v>4</v>
      </c>
      <c r="C80" t="s">
        <v>787</v>
      </c>
      <c r="D80" s="22">
        <v>31</v>
      </c>
      <c r="E80" s="22">
        <v>1607.8999999999999</v>
      </c>
      <c r="G80" s="23" t="s">
        <v>4</v>
      </c>
      <c r="H80" t="s">
        <v>787</v>
      </c>
      <c r="I80" s="22">
        <v>31</v>
      </c>
      <c r="K80" s="23" t="s">
        <v>4</v>
      </c>
      <c r="L80" t="s">
        <v>787</v>
      </c>
      <c r="M80" s="22">
        <v>1607.8999999999999</v>
      </c>
    </row>
    <row r="81" spans="2:13" x14ac:dyDescent="0.3">
      <c r="B81" t="s">
        <v>4</v>
      </c>
      <c r="C81" t="s">
        <v>83</v>
      </c>
      <c r="D81" s="22">
        <v>88</v>
      </c>
      <c r="E81" s="22">
        <v>6444.9</v>
      </c>
      <c r="G81" s="23" t="s">
        <v>4</v>
      </c>
      <c r="H81" t="s">
        <v>83</v>
      </c>
      <c r="I81" s="22">
        <v>88</v>
      </c>
      <c r="K81" s="23" t="s">
        <v>4</v>
      </c>
      <c r="L81" t="s">
        <v>83</v>
      </c>
      <c r="M81" s="22">
        <v>6444.9</v>
      </c>
    </row>
    <row r="82" spans="2:13" x14ac:dyDescent="0.3">
      <c r="B82" t="s">
        <v>4</v>
      </c>
      <c r="C82" t="s">
        <v>34</v>
      </c>
      <c r="D82" s="22">
        <v>25</v>
      </c>
      <c r="E82" s="22">
        <v>1809.3</v>
      </c>
      <c r="G82" s="23" t="s">
        <v>4</v>
      </c>
      <c r="H82" t="s">
        <v>34</v>
      </c>
      <c r="I82" s="22">
        <v>25</v>
      </c>
      <c r="K82" s="23" t="s">
        <v>4</v>
      </c>
      <c r="L82" t="s">
        <v>34</v>
      </c>
      <c r="M82" s="22">
        <v>1809.3</v>
      </c>
    </row>
    <row r="83" spans="2:13" x14ac:dyDescent="0.3">
      <c r="B83" t="s">
        <v>4</v>
      </c>
      <c r="C83" t="s">
        <v>173</v>
      </c>
      <c r="D83" s="22">
        <v>178</v>
      </c>
      <c r="E83" s="22">
        <v>9680.399999999996</v>
      </c>
      <c r="G83" s="23" t="s">
        <v>4</v>
      </c>
      <c r="H83" t="s">
        <v>173</v>
      </c>
      <c r="I83" s="22">
        <v>178</v>
      </c>
      <c r="K83" s="23" t="s">
        <v>4</v>
      </c>
      <c r="L83" t="s">
        <v>173</v>
      </c>
      <c r="M83" s="22">
        <v>9680.399999999996</v>
      </c>
    </row>
    <row r="84" spans="2:13" x14ac:dyDescent="0.3">
      <c r="B84" t="s">
        <v>4</v>
      </c>
      <c r="C84" t="s">
        <v>37</v>
      </c>
      <c r="D84" s="22">
        <v>141</v>
      </c>
      <c r="E84" s="22">
        <v>9414.7999999999993</v>
      </c>
      <c r="G84" s="23" t="s">
        <v>4</v>
      </c>
      <c r="H84" t="s">
        <v>37</v>
      </c>
      <c r="I84" s="22">
        <v>141</v>
      </c>
      <c r="K84" s="23" t="s">
        <v>4</v>
      </c>
      <c r="L84" t="s">
        <v>37</v>
      </c>
      <c r="M84" s="22">
        <v>9414.7999999999993</v>
      </c>
    </row>
    <row r="85" spans="2:13" x14ac:dyDescent="0.3">
      <c r="B85" t="s">
        <v>4</v>
      </c>
      <c r="C85" t="s">
        <v>323</v>
      </c>
      <c r="D85" s="22">
        <v>6</v>
      </c>
      <c r="E85" s="22">
        <v>206.1</v>
      </c>
      <c r="G85" s="23" t="s">
        <v>4</v>
      </c>
      <c r="H85" t="s">
        <v>323</v>
      </c>
      <c r="I85" s="22">
        <v>6</v>
      </c>
      <c r="K85" s="23" t="s">
        <v>4</v>
      </c>
      <c r="L85" t="s">
        <v>323</v>
      </c>
      <c r="M85" s="22">
        <v>206.1</v>
      </c>
    </row>
    <row r="86" spans="2:13" x14ac:dyDescent="0.3">
      <c r="B86" t="s">
        <v>4</v>
      </c>
      <c r="C86" t="s">
        <v>143</v>
      </c>
      <c r="D86" s="22">
        <v>178</v>
      </c>
      <c r="E86" s="22">
        <v>7691.3</v>
      </c>
      <c r="G86" s="23" t="s">
        <v>4</v>
      </c>
      <c r="H86" t="s">
        <v>143</v>
      </c>
      <c r="I86" s="22">
        <v>178</v>
      </c>
      <c r="K86" s="23" t="s">
        <v>4</v>
      </c>
      <c r="L86" t="s">
        <v>143</v>
      </c>
      <c r="M86" s="22">
        <v>7691.3</v>
      </c>
    </row>
    <row r="87" spans="2:13" x14ac:dyDescent="0.3">
      <c r="B87" t="s">
        <v>4</v>
      </c>
      <c r="C87" t="s">
        <v>40</v>
      </c>
      <c r="D87" s="22">
        <v>699</v>
      </c>
      <c r="E87" s="22">
        <v>37784.900000000016</v>
      </c>
      <c r="G87" s="23" t="s">
        <v>4</v>
      </c>
      <c r="H87" t="s">
        <v>40</v>
      </c>
      <c r="I87" s="22">
        <v>699</v>
      </c>
      <c r="K87" s="23" t="s">
        <v>4</v>
      </c>
      <c r="L87" t="s">
        <v>40</v>
      </c>
      <c r="M87" s="22">
        <v>37784.900000000016</v>
      </c>
    </row>
    <row r="88" spans="2:13" x14ac:dyDescent="0.3">
      <c r="B88" t="s">
        <v>4</v>
      </c>
      <c r="C88" t="s">
        <v>327</v>
      </c>
      <c r="D88" s="22">
        <v>23</v>
      </c>
      <c r="E88" s="22">
        <v>1129.7</v>
      </c>
      <c r="G88" s="23" t="s">
        <v>4</v>
      </c>
      <c r="H88" t="s">
        <v>327</v>
      </c>
      <c r="I88" s="22">
        <v>23</v>
      </c>
      <c r="K88" s="23" t="s">
        <v>4</v>
      </c>
      <c r="L88" t="s">
        <v>327</v>
      </c>
      <c r="M88" s="22">
        <v>1129.7</v>
      </c>
    </row>
    <row r="89" spans="2:13" x14ac:dyDescent="0.3">
      <c r="B89" t="s">
        <v>4</v>
      </c>
      <c r="C89" t="s">
        <v>44</v>
      </c>
      <c r="D89" s="22">
        <v>356</v>
      </c>
      <c r="E89" s="22">
        <v>20988.9</v>
      </c>
      <c r="G89" s="23" t="s">
        <v>4</v>
      </c>
      <c r="H89" t="s">
        <v>44</v>
      </c>
      <c r="I89" s="22">
        <v>356</v>
      </c>
      <c r="K89" s="23" t="s">
        <v>4</v>
      </c>
      <c r="L89" t="s">
        <v>44</v>
      </c>
      <c r="M89" s="22">
        <v>20988.9</v>
      </c>
    </row>
    <row r="90" spans="2:13" x14ac:dyDescent="0.3">
      <c r="B90" t="s">
        <v>4</v>
      </c>
      <c r="C90" t="s">
        <v>47</v>
      </c>
      <c r="D90" s="22">
        <v>1768</v>
      </c>
      <c r="E90" s="22">
        <v>98367.099999999977</v>
      </c>
      <c r="G90" s="23" t="s">
        <v>4</v>
      </c>
      <c r="H90" t="s">
        <v>47</v>
      </c>
      <c r="I90" s="22">
        <v>1768</v>
      </c>
      <c r="K90" s="23" t="s">
        <v>4</v>
      </c>
      <c r="L90" t="s">
        <v>47</v>
      </c>
      <c r="M90" s="22">
        <v>98367.099999999977</v>
      </c>
    </row>
    <row r="91" spans="2:13" x14ac:dyDescent="0.3">
      <c r="B91" t="s">
        <v>4</v>
      </c>
      <c r="C91" t="s">
        <v>88</v>
      </c>
      <c r="D91" s="22">
        <v>307</v>
      </c>
      <c r="E91" s="22">
        <v>21911.9</v>
      </c>
      <c r="G91" s="23" t="s">
        <v>4</v>
      </c>
      <c r="H91" t="s">
        <v>88</v>
      </c>
      <c r="I91" s="22">
        <v>307</v>
      </c>
      <c r="K91" s="23" t="s">
        <v>4</v>
      </c>
      <c r="L91" t="s">
        <v>88</v>
      </c>
      <c r="M91" s="22">
        <v>21911.9</v>
      </c>
    </row>
    <row r="92" spans="2:13" x14ac:dyDescent="0.3">
      <c r="B92" t="s">
        <v>4</v>
      </c>
      <c r="C92" t="s">
        <v>186</v>
      </c>
      <c r="D92" s="22">
        <v>117</v>
      </c>
      <c r="E92" s="22">
        <v>5441.2</v>
      </c>
      <c r="G92" s="23" t="s">
        <v>4</v>
      </c>
      <c r="H92" t="s">
        <v>186</v>
      </c>
      <c r="I92" s="22">
        <v>117</v>
      </c>
      <c r="K92" s="23" t="s">
        <v>4</v>
      </c>
      <c r="L92" t="s">
        <v>186</v>
      </c>
      <c r="M92" s="22">
        <v>5441.2</v>
      </c>
    </row>
    <row r="93" spans="2:13" x14ac:dyDescent="0.3">
      <c r="B93" t="s">
        <v>4</v>
      </c>
      <c r="C93" t="s">
        <v>414</v>
      </c>
      <c r="D93" s="22">
        <v>13</v>
      </c>
      <c r="E93" s="22">
        <v>392.8</v>
      </c>
      <c r="G93" s="23" t="s">
        <v>4</v>
      </c>
      <c r="H93" t="s">
        <v>414</v>
      </c>
      <c r="I93" s="22">
        <v>13</v>
      </c>
      <c r="K93" s="23" t="s">
        <v>4</v>
      </c>
      <c r="L93" t="s">
        <v>414</v>
      </c>
      <c r="M93" s="22">
        <v>392.8</v>
      </c>
    </row>
    <row r="94" spans="2:13" x14ac:dyDescent="0.3">
      <c r="B94" t="s">
        <v>4</v>
      </c>
      <c r="C94" t="s">
        <v>57</v>
      </c>
      <c r="D94" s="22">
        <v>364</v>
      </c>
      <c r="E94" s="22">
        <v>16172.000000000005</v>
      </c>
      <c r="G94" s="23" t="s">
        <v>4</v>
      </c>
      <c r="H94" t="s">
        <v>57</v>
      </c>
      <c r="I94" s="22">
        <v>364</v>
      </c>
      <c r="K94" s="23" t="s">
        <v>4</v>
      </c>
      <c r="L94" t="s">
        <v>57</v>
      </c>
      <c r="M94" s="22">
        <v>16172.000000000005</v>
      </c>
    </row>
    <row r="95" spans="2:13" x14ac:dyDescent="0.3">
      <c r="B95" t="s">
        <v>4</v>
      </c>
      <c r="C95" t="s">
        <v>59</v>
      </c>
      <c r="D95" s="22">
        <v>95</v>
      </c>
      <c r="E95" s="22">
        <v>4334.9999999999991</v>
      </c>
      <c r="G95" s="23" t="s">
        <v>4</v>
      </c>
      <c r="H95" t="s">
        <v>59</v>
      </c>
      <c r="I95" s="22">
        <v>95</v>
      </c>
      <c r="K95" s="23" t="s">
        <v>4</v>
      </c>
      <c r="L95" t="s">
        <v>59</v>
      </c>
      <c r="M95" s="22">
        <v>4334.9999999999991</v>
      </c>
    </row>
    <row r="96" spans="2:13" x14ac:dyDescent="0.3">
      <c r="B96" t="s">
        <v>4</v>
      </c>
      <c r="C96" t="s">
        <v>62</v>
      </c>
      <c r="D96" s="22">
        <v>737</v>
      </c>
      <c r="E96" s="22">
        <v>37449.000000000007</v>
      </c>
      <c r="G96" s="23" t="s">
        <v>4</v>
      </c>
      <c r="H96" t="s">
        <v>62</v>
      </c>
      <c r="I96" s="22">
        <v>737</v>
      </c>
      <c r="K96" s="23" t="s">
        <v>4</v>
      </c>
      <c r="L96" t="s">
        <v>62</v>
      </c>
      <c r="M96" s="22">
        <v>37449.000000000007</v>
      </c>
    </row>
    <row r="97" spans="2:13" x14ac:dyDescent="0.3">
      <c r="B97" t="s">
        <v>4</v>
      </c>
      <c r="C97" t="s">
        <v>294</v>
      </c>
      <c r="D97" s="22">
        <v>39</v>
      </c>
      <c r="E97" s="22">
        <v>2447.5</v>
      </c>
      <c r="G97" s="23" t="s">
        <v>4</v>
      </c>
      <c r="H97" t="s">
        <v>294</v>
      </c>
      <c r="I97" s="22">
        <v>39</v>
      </c>
      <c r="K97" s="23" t="s">
        <v>4</v>
      </c>
      <c r="L97" t="s">
        <v>294</v>
      </c>
      <c r="M97" s="22">
        <v>2447.5</v>
      </c>
    </row>
    <row r="98" spans="2:13" x14ac:dyDescent="0.3">
      <c r="B98" t="s">
        <v>4</v>
      </c>
      <c r="C98" t="s">
        <v>1101</v>
      </c>
      <c r="D98" s="22">
        <v>56</v>
      </c>
      <c r="E98" s="22">
        <v>3391.1</v>
      </c>
      <c r="G98" s="23" t="s">
        <v>4</v>
      </c>
      <c r="H98" t="s">
        <v>1101</v>
      </c>
      <c r="I98" s="22">
        <v>56</v>
      </c>
      <c r="K98" s="23" t="s">
        <v>4</v>
      </c>
      <c r="L98" t="s">
        <v>1101</v>
      </c>
      <c r="M98" s="22">
        <v>3391.1</v>
      </c>
    </row>
    <row r="99" spans="2:13" x14ac:dyDescent="0.3">
      <c r="B99" t="s">
        <v>4</v>
      </c>
      <c r="C99" t="s">
        <v>685</v>
      </c>
      <c r="D99" s="22">
        <v>2</v>
      </c>
      <c r="E99" s="22">
        <v>30.8</v>
      </c>
      <c r="G99" s="23" t="s">
        <v>4</v>
      </c>
      <c r="H99" t="s">
        <v>685</v>
      </c>
      <c r="I99" s="22">
        <v>2</v>
      </c>
      <c r="K99" s="23" t="s">
        <v>4</v>
      </c>
      <c r="L99" t="s">
        <v>685</v>
      </c>
      <c r="M99" s="22">
        <v>30.8</v>
      </c>
    </row>
    <row r="100" spans="2:13" x14ac:dyDescent="0.3">
      <c r="B100" t="s">
        <v>4</v>
      </c>
      <c r="C100" t="s">
        <v>253</v>
      </c>
      <c r="D100" s="22">
        <v>8</v>
      </c>
      <c r="E100" s="22">
        <v>332.3</v>
      </c>
      <c r="G100" s="23" t="s">
        <v>4</v>
      </c>
      <c r="H100" t="s">
        <v>253</v>
      </c>
      <c r="I100" s="22">
        <v>8</v>
      </c>
      <c r="K100" s="23" t="s">
        <v>4</v>
      </c>
      <c r="L100" t="s">
        <v>253</v>
      </c>
      <c r="M100" s="22">
        <v>332.3</v>
      </c>
    </row>
    <row r="101" spans="2:13" x14ac:dyDescent="0.3">
      <c r="B101" t="s">
        <v>4</v>
      </c>
      <c r="C101" t="s">
        <v>362</v>
      </c>
      <c r="D101" s="22">
        <v>52</v>
      </c>
      <c r="E101" s="22">
        <v>3175.9999999999995</v>
      </c>
      <c r="G101" s="23" t="s">
        <v>4</v>
      </c>
      <c r="H101" t="s">
        <v>362</v>
      </c>
      <c r="I101" s="22">
        <v>52</v>
      </c>
      <c r="K101" s="23" t="s">
        <v>4</v>
      </c>
      <c r="L101" t="s">
        <v>362</v>
      </c>
      <c r="M101" s="22">
        <v>3175.9999999999995</v>
      </c>
    </row>
    <row r="102" spans="2:13" x14ac:dyDescent="0.3">
      <c r="B102" t="s">
        <v>4</v>
      </c>
      <c r="C102" t="s">
        <v>93</v>
      </c>
      <c r="D102" s="22">
        <v>295</v>
      </c>
      <c r="E102" s="22">
        <v>20939.600000000002</v>
      </c>
      <c r="G102" s="23" t="s">
        <v>4</v>
      </c>
      <c r="H102" t="s">
        <v>93</v>
      </c>
      <c r="I102" s="22">
        <v>295</v>
      </c>
      <c r="K102" s="23" t="s">
        <v>4</v>
      </c>
      <c r="L102" t="s">
        <v>93</v>
      </c>
      <c r="M102" s="22">
        <v>20939.600000000002</v>
      </c>
    </row>
    <row r="103" spans="2:13" x14ac:dyDescent="0.3">
      <c r="B103" t="s">
        <v>4</v>
      </c>
      <c r="C103" t="s">
        <v>95</v>
      </c>
      <c r="D103" s="22">
        <v>195</v>
      </c>
      <c r="E103" s="22">
        <v>10185.899999999996</v>
      </c>
      <c r="G103" s="23" t="s">
        <v>4</v>
      </c>
      <c r="H103" t="s">
        <v>95</v>
      </c>
      <c r="I103" s="22">
        <v>195</v>
      </c>
      <c r="K103" s="23" t="s">
        <v>4</v>
      </c>
      <c r="L103" t="s">
        <v>95</v>
      </c>
      <c r="M103" s="22">
        <v>10185.899999999996</v>
      </c>
    </row>
    <row r="104" spans="2:13" x14ac:dyDescent="0.3">
      <c r="B104" t="s">
        <v>4</v>
      </c>
      <c r="C104" t="s">
        <v>277</v>
      </c>
      <c r="D104" s="22">
        <v>20</v>
      </c>
      <c r="E104" s="22">
        <v>958.7</v>
      </c>
      <c r="G104" s="23" t="s">
        <v>4</v>
      </c>
      <c r="H104" t="s">
        <v>277</v>
      </c>
      <c r="I104" s="22">
        <v>20</v>
      </c>
      <c r="K104" s="23" t="s">
        <v>4</v>
      </c>
      <c r="L104" t="s">
        <v>277</v>
      </c>
      <c r="M104" s="22">
        <v>958.7</v>
      </c>
    </row>
    <row r="105" spans="2:13" x14ac:dyDescent="0.3">
      <c r="B105" t="s">
        <v>4</v>
      </c>
      <c r="C105" t="s">
        <v>64</v>
      </c>
      <c r="D105" s="22">
        <v>6</v>
      </c>
      <c r="E105" s="22">
        <v>323</v>
      </c>
      <c r="G105" s="23" t="s">
        <v>4</v>
      </c>
      <c r="H105" t="s">
        <v>64</v>
      </c>
      <c r="I105" s="22">
        <v>6</v>
      </c>
      <c r="K105" s="23" t="s">
        <v>4</v>
      </c>
      <c r="L105" t="s">
        <v>64</v>
      </c>
      <c r="M105" s="22">
        <v>323</v>
      </c>
    </row>
    <row r="106" spans="2:13" x14ac:dyDescent="0.3">
      <c r="B106" t="s">
        <v>4</v>
      </c>
      <c r="C106" t="s">
        <v>593</v>
      </c>
      <c r="D106" s="22">
        <v>5</v>
      </c>
      <c r="E106" s="22">
        <v>167.70000000000002</v>
      </c>
      <c r="G106" s="23" t="s">
        <v>4</v>
      </c>
      <c r="H106" t="s">
        <v>593</v>
      </c>
      <c r="I106" s="22">
        <v>5</v>
      </c>
      <c r="K106" s="23" t="s">
        <v>4</v>
      </c>
      <c r="L106" t="s">
        <v>593</v>
      </c>
      <c r="M106" s="22">
        <v>167.70000000000002</v>
      </c>
    </row>
    <row r="107" spans="2:13" x14ac:dyDescent="0.3">
      <c r="B107" t="s">
        <v>4</v>
      </c>
      <c r="C107" t="s">
        <v>98</v>
      </c>
      <c r="D107" s="22">
        <v>94</v>
      </c>
      <c r="E107" s="22">
        <v>3978.5</v>
      </c>
      <c r="G107" s="23" t="s">
        <v>4</v>
      </c>
      <c r="H107" t="s">
        <v>98</v>
      </c>
      <c r="I107" s="22">
        <v>94</v>
      </c>
      <c r="K107" s="23" t="s">
        <v>4</v>
      </c>
      <c r="L107" t="s">
        <v>98</v>
      </c>
      <c r="M107" s="22">
        <v>3978.5</v>
      </c>
    </row>
    <row r="108" spans="2:13" x14ac:dyDescent="0.3">
      <c r="B108" t="s">
        <v>4</v>
      </c>
      <c r="C108" t="s">
        <v>982</v>
      </c>
      <c r="D108" s="22">
        <v>28</v>
      </c>
      <c r="E108" s="22">
        <v>1405</v>
      </c>
      <c r="G108" s="23" t="s">
        <v>4</v>
      </c>
      <c r="H108" t="s">
        <v>982</v>
      </c>
      <c r="I108" s="22">
        <v>28</v>
      </c>
      <c r="K108" s="23" t="s">
        <v>4</v>
      </c>
      <c r="L108" t="s">
        <v>982</v>
      </c>
      <c r="M108" s="22">
        <v>1405</v>
      </c>
    </row>
    <row r="109" spans="2:13" x14ac:dyDescent="0.3">
      <c r="B109" t="s">
        <v>4</v>
      </c>
      <c r="C109" t="s">
        <v>67</v>
      </c>
      <c r="D109" s="22">
        <v>179</v>
      </c>
      <c r="E109" s="22">
        <v>9869.0999999999985</v>
      </c>
      <c r="G109" s="23" t="s">
        <v>4</v>
      </c>
      <c r="H109" t="s">
        <v>67</v>
      </c>
      <c r="I109" s="22">
        <v>179</v>
      </c>
      <c r="K109" s="23" t="s">
        <v>4</v>
      </c>
      <c r="L109" t="s">
        <v>67</v>
      </c>
      <c r="M109" s="22">
        <v>9869.0999999999985</v>
      </c>
    </row>
    <row r="110" spans="2:13" x14ac:dyDescent="0.3">
      <c r="B110" t="s">
        <v>4</v>
      </c>
      <c r="C110" t="s">
        <v>228</v>
      </c>
      <c r="D110" s="22">
        <v>15</v>
      </c>
      <c r="E110" s="22">
        <v>615.29999999999995</v>
      </c>
      <c r="G110" s="23" t="s">
        <v>4</v>
      </c>
      <c r="H110" t="s">
        <v>228</v>
      </c>
      <c r="I110" s="22">
        <v>15</v>
      </c>
      <c r="K110" s="23" t="s">
        <v>4</v>
      </c>
      <c r="L110" t="s">
        <v>228</v>
      </c>
      <c r="M110" s="22">
        <v>615.29999999999995</v>
      </c>
    </row>
    <row r="111" spans="2:13" x14ac:dyDescent="0.3">
      <c r="B111" t="s">
        <v>4</v>
      </c>
      <c r="C111" t="s">
        <v>1896</v>
      </c>
      <c r="D111" s="22">
        <v>3</v>
      </c>
      <c r="E111" s="22">
        <v>285</v>
      </c>
      <c r="G111" s="24" t="s">
        <v>4</v>
      </c>
      <c r="H111" t="s">
        <v>1896</v>
      </c>
      <c r="I111" s="22">
        <v>3</v>
      </c>
      <c r="K111" s="24" t="s">
        <v>4</v>
      </c>
      <c r="L111" t="s">
        <v>1896</v>
      </c>
      <c r="M111" s="22">
        <v>285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B510B-B72B-4B1D-B6EF-E1ED377CA32D}">
  <dimension ref="A2:L11"/>
  <sheetViews>
    <sheetView showGridLines="0" workbookViewId="0">
      <selection activeCell="D8" sqref="D8"/>
    </sheetView>
  </sheetViews>
  <sheetFormatPr defaultRowHeight="14.4" x14ac:dyDescent="0.3"/>
  <cols>
    <col min="1" max="1" width="14.44140625" bestFit="1" customWidth="1"/>
    <col min="2" max="2" width="15.5546875" bestFit="1" customWidth="1"/>
    <col min="3" max="3" width="7" bestFit="1" customWidth="1"/>
    <col min="4" max="4" width="6" bestFit="1" customWidth="1"/>
    <col min="5" max="5" width="9.21875" bestFit="1" customWidth="1"/>
    <col min="6" max="6" width="10.77734375" bestFit="1" customWidth="1"/>
    <col min="7" max="7" width="11.44140625" bestFit="1" customWidth="1"/>
    <col min="8" max="8" width="10.77734375" customWidth="1"/>
    <col min="9" max="9" width="7.5546875" customWidth="1"/>
    <col min="10" max="10" width="6.77734375" customWidth="1"/>
    <col min="11" max="11" width="6.6640625" customWidth="1"/>
    <col min="12" max="12" width="10.5546875" customWidth="1"/>
    <col min="13" max="13" width="8" bestFit="1" customWidth="1"/>
    <col min="14" max="14" width="7" bestFit="1" customWidth="1"/>
    <col min="15" max="15" width="9.21875" bestFit="1" customWidth="1"/>
    <col min="16" max="16" width="15.88671875" bestFit="1" customWidth="1"/>
    <col min="17" max="17" width="12.5546875" bestFit="1" customWidth="1"/>
    <col min="18" max="18" width="8" bestFit="1" customWidth="1"/>
    <col min="19" max="19" width="7" bestFit="1" customWidth="1"/>
    <col min="20" max="20" width="9.21875" bestFit="1" customWidth="1"/>
    <col min="21" max="21" width="15.33203125" bestFit="1" customWidth="1"/>
    <col min="22" max="22" width="9.77734375" bestFit="1" customWidth="1"/>
    <col min="23" max="23" width="8" bestFit="1" customWidth="1"/>
    <col min="24" max="24" width="7" bestFit="1" customWidth="1"/>
    <col min="25" max="25" width="9.21875" bestFit="1" customWidth="1"/>
    <col min="26" max="26" width="12.44140625" bestFit="1" customWidth="1"/>
    <col min="27" max="27" width="10.77734375" bestFit="1" customWidth="1"/>
  </cols>
  <sheetData>
    <row r="2" spans="1:12" x14ac:dyDescent="0.3">
      <c r="H2" t="s">
        <v>2536</v>
      </c>
    </row>
    <row r="3" spans="1:12" x14ac:dyDescent="0.3">
      <c r="A3" s="5" t="s">
        <v>2521</v>
      </c>
      <c r="B3" s="5" t="s">
        <v>2535</v>
      </c>
      <c r="H3" s="18"/>
      <c r="I3" s="20"/>
      <c r="J3" s="10"/>
      <c r="K3" s="10"/>
      <c r="L3" s="10"/>
    </row>
    <row r="4" spans="1:12" ht="25.8" customHeight="1" x14ac:dyDescent="0.3">
      <c r="A4" s="5" t="s">
        <v>2518</v>
      </c>
      <c r="B4" t="s">
        <v>2533</v>
      </c>
      <c r="C4" t="s">
        <v>2532</v>
      </c>
      <c r="D4" t="s">
        <v>2534</v>
      </c>
      <c r="E4" t="s">
        <v>2531</v>
      </c>
      <c r="F4" t="s">
        <v>2519</v>
      </c>
      <c r="G4" s="11"/>
      <c r="H4" s="18"/>
      <c r="I4" s="18" t="str">
        <f>B4</f>
        <v>Female</v>
      </c>
      <c r="J4" s="21" t="str">
        <f t="shared" ref="J4:L9" si="0">C4</f>
        <v>Male</v>
      </c>
      <c r="K4" s="21" t="str">
        <f t="shared" si="0"/>
        <v>Other</v>
      </c>
      <c r="L4" s="12" t="str">
        <f t="shared" si="0"/>
        <v>Unknown</v>
      </c>
    </row>
    <row r="5" spans="1:12" ht="22.8" customHeight="1" x14ac:dyDescent="0.3">
      <c r="A5" s="6" t="s">
        <v>3</v>
      </c>
      <c r="B5" s="9">
        <v>0.18961825201634841</v>
      </c>
      <c r="C5" s="9">
        <v>0.12262322351336576</v>
      </c>
      <c r="D5" s="9">
        <v>1.060537752469185E-2</v>
      </c>
      <c r="E5" s="9">
        <v>3.0599220547662797E-2</v>
      </c>
      <c r="F5" s="9">
        <v>0.35344607360206881</v>
      </c>
      <c r="G5" s="11"/>
      <c r="H5" s="17" t="str">
        <f>A5</f>
        <v>App</v>
      </c>
      <c r="I5" s="13">
        <f t="shared" ref="I5:I9" si="1">B5</f>
        <v>0.18961825201634841</v>
      </c>
      <c r="J5" s="13">
        <f t="shared" si="0"/>
        <v>0.12262322351336576</v>
      </c>
      <c r="K5" s="13">
        <f t="shared" si="0"/>
        <v>1.060537752469185E-2</v>
      </c>
      <c r="L5" s="13">
        <f t="shared" si="0"/>
        <v>3.0599220547662797E-2</v>
      </c>
    </row>
    <row r="6" spans="1:12" ht="22.2" customHeight="1" x14ac:dyDescent="0.3">
      <c r="A6" s="6" t="s">
        <v>36</v>
      </c>
      <c r="B6" s="9">
        <v>5.0283982091147303E-2</v>
      </c>
      <c r="C6" s="9">
        <v>4.3060781812819873E-2</v>
      </c>
      <c r="D6" s="9">
        <v>1.5320025675641944E-3</v>
      </c>
      <c r="E6" s="9">
        <v>1.7794988689097006E-2</v>
      </c>
      <c r="F6" s="9">
        <v>0.11267175516062837</v>
      </c>
      <c r="G6" s="11"/>
      <c r="H6" s="17" t="str">
        <f t="shared" ref="H6:H9" si="2">A6</f>
        <v>Instagram</v>
      </c>
      <c r="I6" s="16">
        <f t="shared" si="1"/>
        <v>5.0283982091147303E-2</v>
      </c>
      <c r="J6" s="13">
        <f t="shared" si="0"/>
        <v>4.3060781812819873E-2</v>
      </c>
      <c r="K6" s="13">
        <f t="shared" si="0"/>
        <v>1.5320025675641944E-3</v>
      </c>
      <c r="L6" s="13">
        <f t="shared" si="0"/>
        <v>1.7794988689097006E-2</v>
      </c>
    </row>
    <row r="7" spans="1:12" ht="20.399999999999999" customHeight="1" x14ac:dyDescent="0.3">
      <c r="A7" s="6" t="s">
        <v>55</v>
      </c>
      <c r="B7" s="9">
        <v>6.3496059750411282E-2</v>
      </c>
      <c r="C7" s="9">
        <v>4.6071629863988765E-2</v>
      </c>
      <c r="D7" s="9">
        <v>2.306247051322625E-3</v>
      </c>
      <c r="E7" s="9">
        <v>3.8927934093844286E-3</v>
      </c>
      <c r="F7" s="9">
        <v>0.11576673007510711</v>
      </c>
      <c r="G7" s="11"/>
      <c r="H7" s="17" t="str">
        <f t="shared" si="2"/>
        <v>Partner App</v>
      </c>
      <c r="I7" s="13">
        <f t="shared" si="1"/>
        <v>6.3496059750411282E-2</v>
      </c>
      <c r="J7" s="19">
        <f t="shared" si="0"/>
        <v>4.6071629863988765E-2</v>
      </c>
      <c r="K7" s="13">
        <f t="shared" si="0"/>
        <v>2.306247051322625E-3</v>
      </c>
      <c r="L7" s="13">
        <f t="shared" si="0"/>
        <v>3.8927934093844286E-3</v>
      </c>
    </row>
    <row r="8" spans="1:12" ht="21" customHeight="1" x14ac:dyDescent="0.3">
      <c r="A8" s="6" t="s">
        <v>25</v>
      </c>
      <c r="B8" s="9">
        <v>9.6337892927149532E-2</v>
      </c>
      <c r="C8" s="9">
        <v>6.7920115842382611E-2</v>
      </c>
      <c r="D8" s="9">
        <v>5.4979832664581261E-3</v>
      </c>
      <c r="E8" s="9">
        <v>1.2933041488102518E-2</v>
      </c>
      <c r="F8" s="9">
        <v>0.1826890335240928</v>
      </c>
      <c r="G8" s="11"/>
      <c r="H8" s="18" t="str">
        <f t="shared" si="2"/>
        <v>Target.com</v>
      </c>
      <c r="I8" s="14">
        <f t="shared" si="1"/>
        <v>9.6337892927149532E-2</v>
      </c>
      <c r="J8" s="19">
        <f t="shared" si="0"/>
        <v>6.7920115842382611E-2</v>
      </c>
      <c r="K8" s="14">
        <f t="shared" si="0"/>
        <v>5.4979832664581261E-3</v>
      </c>
      <c r="L8" s="13">
        <f t="shared" si="0"/>
        <v>1.2933041488102518E-2</v>
      </c>
    </row>
    <row r="9" spans="1:12" ht="22.2" customHeight="1" x14ac:dyDescent="0.3">
      <c r="A9" s="6" t="s">
        <v>20</v>
      </c>
      <c r="B9" s="9">
        <v>0.12522098709469262</v>
      </c>
      <c r="C9" s="9">
        <v>9.1492740283116228E-2</v>
      </c>
      <c r="D9" s="9">
        <v>6.3042760790965081E-3</v>
      </c>
      <c r="E9" s="9">
        <v>1.2408404181197551E-2</v>
      </c>
      <c r="F9" s="9">
        <v>0.23542640763810288</v>
      </c>
      <c r="G9" s="11"/>
      <c r="H9" s="12" t="str">
        <f t="shared" si="2"/>
        <v>Website</v>
      </c>
      <c r="I9" s="19">
        <f t="shared" si="1"/>
        <v>0.12522098709469262</v>
      </c>
      <c r="J9" s="13">
        <f t="shared" si="0"/>
        <v>9.1492740283116228E-2</v>
      </c>
      <c r="K9" s="13">
        <f t="shared" si="0"/>
        <v>6.3042760790965081E-3</v>
      </c>
      <c r="L9" s="13">
        <f t="shared" si="0"/>
        <v>1.2408404181197551E-2</v>
      </c>
    </row>
    <row r="10" spans="1:12" x14ac:dyDescent="0.3">
      <c r="A10" s="6" t="s">
        <v>2519</v>
      </c>
      <c r="B10" s="9">
        <v>0.52495717387974916</v>
      </c>
      <c r="C10" s="9">
        <v>0.3711684913156732</v>
      </c>
      <c r="D10" s="9">
        <v>2.6245886489133303E-2</v>
      </c>
      <c r="E10" s="9">
        <v>7.7628448315444312E-2</v>
      </c>
      <c r="F10" s="9">
        <v>1</v>
      </c>
    </row>
    <row r="11" spans="1:12" x14ac:dyDescent="0.3">
      <c r="J11" s="11"/>
      <c r="L11" s="10"/>
    </row>
  </sheetData>
  <conditionalFormatting sqref="I5:L9">
    <cfRule type="colorScale" priority="1">
      <colorScale>
        <cfvo type="min"/>
        <cfvo type="percentile" val="50"/>
        <cfvo type="max"/>
        <color rgb="FFF8696B"/>
        <color rgb="FFFCFCFF"/>
        <color rgb="FF5A8AC6"/>
      </colorScale>
    </cfRule>
  </conditionalFormatting>
  <conditionalFormatting sqref="H4:L9">
    <cfRule type="colorScale" priority="4">
      <colorScale>
        <cfvo type="min"/>
        <cfvo type="percentile" val="50"/>
        <cfvo type="max"/>
        <color rgb="FFF8696B"/>
        <color rgb="FFFCFCFF"/>
        <color rgb="FF5A8AC6"/>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3F73B-D673-4016-8206-808A207AB2AE}">
  <dimension ref="A2:K19"/>
  <sheetViews>
    <sheetView workbookViewId="0">
      <selection activeCell="G31" sqref="G31"/>
    </sheetView>
  </sheetViews>
  <sheetFormatPr defaultRowHeight="14.4" x14ac:dyDescent="0.3"/>
  <cols>
    <col min="1" max="1" width="12.5546875" bestFit="1" customWidth="1"/>
    <col min="2" max="2" width="13.21875" bestFit="1" customWidth="1"/>
    <col min="5" max="5" width="13.21875" bestFit="1" customWidth="1"/>
    <col min="6" max="6" width="15.5546875" bestFit="1" customWidth="1"/>
    <col min="7" max="8" width="4" bestFit="1" customWidth="1"/>
    <col min="9" max="9" width="5" bestFit="1" customWidth="1"/>
    <col min="10" max="10" width="4" bestFit="1" customWidth="1"/>
    <col min="11" max="11" width="10.77734375" bestFit="1" customWidth="1"/>
    <col min="12" max="12" width="13.21875" bestFit="1" customWidth="1"/>
    <col min="13" max="13" width="20.33203125" bestFit="1" customWidth="1"/>
    <col min="14" max="14" width="13.21875" bestFit="1" customWidth="1"/>
    <col min="15" max="15" width="20.33203125" bestFit="1" customWidth="1"/>
    <col min="16" max="16" width="18" bestFit="1" customWidth="1"/>
    <col min="17" max="17" width="25.109375" bestFit="1" customWidth="1"/>
  </cols>
  <sheetData>
    <row r="2" spans="1:11" x14ac:dyDescent="0.3">
      <c r="A2" t="s">
        <v>2544</v>
      </c>
      <c r="E2" t="s">
        <v>2545</v>
      </c>
    </row>
    <row r="3" spans="1:11" x14ac:dyDescent="0.3">
      <c r="A3" s="5" t="s">
        <v>2518</v>
      </c>
      <c r="B3" t="s">
        <v>2520</v>
      </c>
      <c r="E3" s="5" t="s">
        <v>2520</v>
      </c>
      <c r="F3" s="5" t="s">
        <v>2535</v>
      </c>
    </row>
    <row r="4" spans="1:11" x14ac:dyDescent="0.3">
      <c r="A4" s="6">
        <v>0</v>
      </c>
      <c r="B4" s="22">
        <v>175</v>
      </c>
      <c r="E4" s="5" t="s">
        <v>2518</v>
      </c>
      <c r="F4">
        <v>1</v>
      </c>
      <c r="G4">
        <v>2</v>
      </c>
      <c r="H4">
        <v>3</v>
      </c>
      <c r="I4">
        <v>4</v>
      </c>
      <c r="J4">
        <v>5</v>
      </c>
      <c r="K4" t="s">
        <v>2519</v>
      </c>
    </row>
    <row r="5" spans="1:11" x14ac:dyDescent="0.3">
      <c r="A5" s="6">
        <v>1</v>
      </c>
      <c r="B5" s="22">
        <v>888</v>
      </c>
      <c r="E5" s="6" t="s">
        <v>2546</v>
      </c>
      <c r="F5" s="22">
        <v>7</v>
      </c>
      <c r="G5" s="22">
        <v>37</v>
      </c>
      <c r="H5" s="22">
        <v>150</v>
      </c>
      <c r="I5" s="22">
        <v>312</v>
      </c>
      <c r="J5" s="22">
        <v>224</v>
      </c>
      <c r="K5" s="22">
        <v>730</v>
      </c>
    </row>
    <row r="6" spans="1:11" x14ac:dyDescent="0.3">
      <c r="A6" s="6">
        <v>2</v>
      </c>
      <c r="B6" s="22">
        <v>538</v>
      </c>
      <c r="E6" s="6" t="s">
        <v>2547</v>
      </c>
      <c r="F6" s="22">
        <v>8</v>
      </c>
      <c r="G6" s="22">
        <v>51</v>
      </c>
      <c r="H6" s="22">
        <v>182</v>
      </c>
      <c r="I6" s="22">
        <v>373</v>
      </c>
      <c r="J6" s="22">
        <v>247</v>
      </c>
      <c r="K6" s="22">
        <v>861</v>
      </c>
    </row>
    <row r="7" spans="1:11" x14ac:dyDescent="0.3">
      <c r="A7" s="6">
        <v>3</v>
      </c>
      <c r="B7" s="22">
        <v>344</v>
      </c>
      <c r="E7" s="6" t="s">
        <v>2548</v>
      </c>
      <c r="F7" s="22">
        <v>6</v>
      </c>
      <c r="G7" s="22">
        <v>39</v>
      </c>
      <c r="H7" s="22">
        <v>163</v>
      </c>
      <c r="I7" s="22">
        <v>351</v>
      </c>
      <c r="J7" s="22">
        <v>250</v>
      </c>
      <c r="K7" s="22">
        <v>809</v>
      </c>
    </row>
    <row r="8" spans="1:11" x14ac:dyDescent="0.3">
      <c r="A8" s="6">
        <v>4</v>
      </c>
      <c r="B8" s="22">
        <v>200</v>
      </c>
      <c r="E8" s="6" t="s">
        <v>2519</v>
      </c>
      <c r="F8" s="22">
        <v>21</v>
      </c>
      <c r="G8" s="22">
        <v>127</v>
      </c>
      <c r="H8" s="22">
        <v>495</v>
      </c>
      <c r="I8" s="22">
        <v>1036</v>
      </c>
      <c r="J8" s="22">
        <v>721</v>
      </c>
      <c r="K8" s="22">
        <v>2400</v>
      </c>
    </row>
    <row r="9" spans="1:11" x14ac:dyDescent="0.3">
      <c r="A9" s="6">
        <v>5</v>
      </c>
      <c r="B9" s="22">
        <v>94</v>
      </c>
    </row>
    <row r="10" spans="1:11" x14ac:dyDescent="0.3">
      <c r="A10" s="6">
        <v>6</v>
      </c>
      <c r="B10" s="22">
        <v>51</v>
      </c>
    </row>
    <row r="11" spans="1:11" x14ac:dyDescent="0.3">
      <c r="A11" s="6">
        <v>7</v>
      </c>
      <c r="B11" s="22">
        <v>32</v>
      </c>
    </row>
    <row r="12" spans="1:11" x14ac:dyDescent="0.3">
      <c r="A12" s="6">
        <v>8</v>
      </c>
      <c r="B12" s="22">
        <v>23</v>
      </c>
    </row>
    <row r="13" spans="1:11" x14ac:dyDescent="0.3">
      <c r="A13" s="6">
        <v>9</v>
      </c>
      <c r="B13" s="22">
        <v>9</v>
      </c>
    </row>
    <row r="14" spans="1:11" x14ac:dyDescent="0.3">
      <c r="A14" s="6">
        <v>10</v>
      </c>
      <c r="B14" s="22">
        <v>8</v>
      </c>
    </row>
    <row r="15" spans="1:11" x14ac:dyDescent="0.3">
      <c r="A15" s="6">
        <v>11</v>
      </c>
      <c r="B15" s="22">
        <v>11</v>
      </c>
    </row>
    <row r="16" spans="1:11" x14ac:dyDescent="0.3">
      <c r="A16" s="6">
        <v>12</v>
      </c>
      <c r="B16" s="22">
        <v>4</v>
      </c>
    </row>
    <row r="17" spans="1:2" x14ac:dyDescent="0.3">
      <c r="A17" s="6">
        <v>13</v>
      </c>
      <c r="B17" s="22">
        <v>10</v>
      </c>
    </row>
    <row r="18" spans="1:2" x14ac:dyDescent="0.3">
      <c r="A18" s="6">
        <v>14</v>
      </c>
      <c r="B18" s="22">
        <v>13</v>
      </c>
    </row>
    <row r="19" spans="1:2" x14ac:dyDescent="0.3">
      <c r="A19" s="6" t="s">
        <v>2519</v>
      </c>
      <c r="B19" s="22">
        <v>2400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8E8DA-26A3-4B34-8A91-3C05D724ED93}">
  <dimension ref="A1"/>
  <sheetViews>
    <sheetView tabSelected="1" view="pageBreakPreview" zoomScale="70" zoomScaleNormal="100" workbookViewId="0">
      <selection activeCell="AB31" sqref="AB31"/>
    </sheetView>
  </sheetViews>
  <sheetFormatPr defaultRowHeight="14.4" x14ac:dyDescent="0.3"/>
  <cols>
    <col min="1" max="1" width="2.5546875" customWidth="1"/>
    <col min="2" max="2" width="26.77734375" customWidth="1"/>
    <col min="3" max="3" width="2.2187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Questions &amp; KPIs</vt:lpstr>
      <vt:lpstr>Pivots</vt:lpstr>
      <vt:lpstr>Heatmap</vt:lpstr>
      <vt:lpstr>Pivot_Cust,Del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Reshma Chowdhary</dc:creator>
  <cp:lastModifiedBy>Potluri, Reshma Chowdhary</cp:lastModifiedBy>
  <dcterms:created xsi:type="dcterms:W3CDTF">2015-06-05T18:17:20Z</dcterms:created>
  <dcterms:modified xsi:type="dcterms:W3CDTF">2025-12-27T18:52:08Z</dcterms:modified>
</cp:coreProperties>
</file>